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f7809166bbaec16/Documents/RAB Docs/PHI/"/>
    </mc:Choice>
  </mc:AlternateContent>
  <xr:revisionPtr revIDLastSave="28" documentId="11_8F2E3B38FF5EC7893B7D55CD8F89CBBEA1C7B619" xr6:coauthVersionLast="47" xr6:coauthVersionMax="47" xr10:uidLastSave="{CACF4BCE-D5D3-4121-819D-FC5EE80EA9FA}"/>
  <bookViews>
    <workbookView xWindow="-98" yWindow="-98" windowWidth="21795" windowHeight="13875" tabRatio="811" firstSheet="3" activeTab="10" xr2:uid="{00000000-000D-0000-FFFF-FFFF00000000}"/>
  </bookViews>
  <sheets>
    <sheet name="README" sheetId="1" r:id="rId1"/>
    <sheet name="Config" sheetId="2" state="hidden" r:id="rId2"/>
    <sheet name="PHI Snapshot" sheetId="3" r:id="rId3"/>
    <sheet name="PHI Full" sheetId="4" r:id="rId4"/>
    <sheet name="ITSM Snapshot" sheetId="5" r:id="rId5"/>
    <sheet name="ITSM Full" sheetId="6" r:id="rId6"/>
    <sheet name="PHI Snapshot Dash" sheetId="7" r:id="rId7"/>
    <sheet name="PHI Full Dash" sheetId="8" r:id="rId8"/>
    <sheet name="ITSM Snapshot Dash" sheetId="9" r:id="rId9"/>
    <sheet name="ITSM Full Dash" sheetId="10" r:id="rId10"/>
    <sheet name="AI - PHI" sheetId="11" r:id="rId11"/>
    <sheet name="AI - ITSM" sheetId="12" r:id="rId12"/>
  </sheets>
  <definedNames>
    <definedName name="_xlnm._FilterDatabase" localSheetId="5" hidden="1">'ITSM Full'!$A$16:$J$81</definedName>
    <definedName name="_xlnm._FilterDatabase" localSheetId="4" hidden="1">'ITSM Snapshot'!$A$14:$G$36</definedName>
    <definedName name="_xlnm._FilterDatabase" localSheetId="3" hidden="1">'PHI Full'!$A$16:$J$91</definedName>
    <definedName name="_xlnm._FilterDatabase" localSheetId="2" hidden="1">'PHI Snapshot'!$A$14:$G$32</definedName>
  </definedNam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6" l="1"/>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L23" i="6"/>
  <c r="A8" i="10" s="1"/>
  <c r="F23" i="6"/>
  <c r="L22" i="6"/>
  <c r="G5" i="10" s="1"/>
  <c r="F22" i="6"/>
  <c r="L21" i="6"/>
  <c r="E5" i="10" s="1"/>
  <c r="F21" i="6"/>
  <c r="F20" i="6"/>
  <c r="F19" i="6"/>
  <c r="L18" i="6"/>
  <c r="F18" i="6"/>
  <c r="L17" i="6"/>
  <c r="F17" i="6"/>
  <c r="L16" i="6"/>
  <c r="L15" i="6"/>
  <c r="L14" i="6"/>
  <c r="L13" i="6"/>
  <c r="L12" i="6"/>
  <c r="L11" i="6"/>
  <c r="L10" i="6"/>
  <c r="L9" i="6"/>
  <c r="L8" i="6"/>
  <c r="L5" i="6"/>
  <c r="F36" i="5"/>
  <c r="F35" i="5"/>
  <c r="F34" i="5"/>
  <c r="F33" i="5"/>
  <c r="F32" i="5"/>
  <c r="F31" i="5"/>
  <c r="F30" i="5"/>
  <c r="F29" i="5"/>
  <c r="F28" i="5"/>
  <c r="F27" i="5"/>
  <c r="F26" i="5"/>
  <c r="F25" i="5"/>
  <c r="F24" i="5"/>
  <c r="K23" i="5"/>
  <c r="A8" i="9" s="1"/>
  <c r="F23" i="5"/>
  <c r="K22" i="5"/>
  <c r="G5" i="9" s="1"/>
  <c r="F22" i="5"/>
  <c r="K21" i="5"/>
  <c r="E5" i="9" s="1"/>
  <c r="F21" i="5"/>
  <c r="F20" i="5"/>
  <c r="F19" i="5"/>
  <c r="K18" i="5"/>
  <c r="F18" i="5"/>
  <c r="K17" i="5"/>
  <c r="F17" i="5"/>
  <c r="K16" i="5"/>
  <c r="F16" i="5"/>
  <c r="K15" i="5"/>
  <c r="F15" i="5"/>
  <c r="K14" i="5"/>
  <c r="K13" i="5"/>
  <c r="K12" i="5"/>
  <c r="K11" i="5"/>
  <c r="K10" i="5"/>
  <c r="K9" i="5"/>
  <c r="K8" i="5"/>
  <c r="K5" i="5"/>
  <c r="K24" i="5" s="1"/>
  <c r="C8" i="9" s="1"/>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L20" i="4"/>
  <c r="G5" i="8" s="1"/>
  <c r="F20" i="4"/>
  <c r="L19" i="4"/>
  <c r="E5" i="8" s="1"/>
  <c r="F19" i="4"/>
  <c r="F18" i="4"/>
  <c r="F17" i="4"/>
  <c r="L16" i="4"/>
  <c r="L15" i="4"/>
  <c r="L14" i="4"/>
  <c r="L13" i="4"/>
  <c r="L12" i="4"/>
  <c r="L11" i="4"/>
  <c r="L10" i="4"/>
  <c r="L9" i="4"/>
  <c r="L8" i="4"/>
  <c r="L5" i="4"/>
  <c r="F32" i="3"/>
  <c r="F31" i="3"/>
  <c r="F30" i="3"/>
  <c r="F29" i="3"/>
  <c r="F28" i="3"/>
  <c r="F27" i="3"/>
  <c r="F26" i="3"/>
  <c r="F25" i="3"/>
  <c r="F24" i="3"/>
  <c r="F23" i="3"/>
  <c r="F22" i="3"/>
  <c r="F21" i="3"/>
  <c r="F20" i="3"/>
  <c r="F19" i="3"/>
  <c r="F18" i="3"/>
  <c r="F17" i="3"/>
  <c r="K16" i="3"/>
  <c r="F16" i="3"/>
  <c r="K15" i="3"/>
  <c r="F15" i="3"/>
  <c r="K14" i="3"/>
  <c r="K13" i="3"/>
  <c r="K12" i="3"/>
  <c r="K11" i="3"/>
  <c r="K10" i="3"/>
  <c r="K9" i="3"/>
  <c r="K8" i="3"/>
  <c r="K5" i="3"/>
  <c r="B15" i="8" l="1"/>
  <c r="M11" i="4"/>
  <c r="C15" i="8" s="1"/>
  <c r="M18" i="6"/>
  <c r="C22" i="10" s="1"/>
  <c r="B22" i="10"/>
  <c r="B21" i="10"/>
  <c r="M17" i="6"/>
  <c r="C21" i="10" s="1"/>
  <c r="B20" i="10"/>
  <c r="M16" i="6"/>
  <c r="C20" i="10" s="1"/>
  <c r="B19" i="10"/>
  <c r="M15" i="6"/>
  <c r="C19" i="10" s="1"/>
  <c r="B18" i="10"/>
  <c r="M14" i="6"/>
  <c r="C18" i="10" s="1"/>
  <c r="B17" i="10"/>
  <c r="M13" i="6"/>
  <c r="C17" i="10" s="1"/>
  <c r="B16" i="10"/>
  <c r="M12" i="6"/>
  <c r="C16" i="10" s="1"/>
  <c r="M11" i="6"/>
  <c r="C15" i="10" s="1"/>
  <c r="B15" i="10"/>
  <c r="B14" i="10"/>
  <c r="M10" i="6"/>
  <c r="C14" i="10" s="1"/>
  <c r="B13" i="10"/>
  <c r="M9" i="6"/>
  <c r="C13" i="10" s="1"/>
  <c r="B12" i="10"/>
  <c r="M8" i="6"/>
  <c r="C12" i="10" s="1"/>
  <c r="A5" i="10"/>
  <c r="L6" i="6"/>
  <c r="C5" i="10" s="1"/>
  <c r="L24" i="6"/>
  <c r="C8" i="10" s="1"/>
  <c r="B22" i="9"/>
  <c r="L18" i="5"/>
  <c r="C22" i="9" s="1"/>
  <c r="B21" i="9"/>
  <c r="L17" i="5"/>
  <c r="C21" i="9" s="1"/>
  <c r="B20" i="9"/>
  <c r="L16" i="5"/>
  <c r="C20" i="9" s="1"/>
  <c r="B19" i="9"/>
  <c r="L15" i="5"/>
  <c r="C19" i="9" s="1"/>
  <c r="L14" i="5"/>
  <c r="C18" i="9" s="1"/>
  <c r="B18" i="9"/>
  <c r="B17" i="9"/>
  <c r="L13" i="5"/>
  <c r="C17" i="9" s="1"/>
  <c r="L12" i="5"/>
  <c r="C16" i="9" s="1"/>
  <c r="B16" i="9"/>
  <c r="B15" i="9"/>
  <c r="L11" i="5"/>
  <c r="C15" i="9" s="1"/>
  <c r="L10" i="5"/>
  <c r="C14" i="9" s="1"/>
  <c r="B14" i="9"/>
  <c r="B13" i="9"/>
  <c r="L9" i="5"/>
  <c r="C13" i="9" s="1"/>
  <c r="B12" i="9"/>
  <c r="L8" i="5"/>
  <c r="C12" i="9" s="1"/>
  <c r="K6" i="5"/>
  <c r="C5" i="9" s="1"/>
  <c r="A5" i="9"/>
  <c r="B20" i="8"/>
  <c r="M16" i="4"/>
  <c r="C20" i="8" s="1"/>
  <c r="B19" i="8"/>
  <c r="M15" i="4"/>
  <c r="C19" i="8" s="1"/>
  <c r="B18" i="8"/>
  <c r="M14" i="4"/>
  <c r="C18" i="8" s="1"/>
  <c r="B17" i="8"/>
  <c r="M13" i="4"/>
  <c r="C17" i="8" s="1"/>
  <c r="B16" i="8"/>
  <c r="M12" i="4"/>
  <c r="C16" i="8" s="1"/>
  <c r="B14" i="8"/>
  <c r="M10" i="4"/>
  <c r="C14" i="8" s="1"/>
  <c r="B13" i="8"/>
  <c r="M9" i="4"/>
  <c r="C13" i="8" s="1"/>
  <c r="B12" i="8"/>
  <c r="M8" i="4"/>
  <c r="C12" i="8" s="1"/>
  <c r="A5" i="8"/>
  <c r="L21" i="4"/>
  <c r="A8" i="8" s="1"/>
  <c r="L6" i="4"/>
  <c r="C5" i="8" s="1"/>
  <c r="B20" i="7"/>
  <c r="L16" i="3"/>
  <c r="C20" i="7" s="1"/>
  <c r="L15" i="3"/>
  <c r="C19" i="7" s="1"/>
  <c r="B19" i="7"/>
  <c r="B18" i="7"/>
  <c r="L14" i="3"/>
  <c r="C18" i="7" s="1"/>
  <c r="L13" i="3"/>
  <c r="C17" i="7" s="1"/>
  <c r="B17" i="7"/>
  <c r="L12" i="3"/>
  <c r="C16" i="7" s="1"/>
  <c r="B16" i="7"/>
  <c r="L11" i="3"/>
  <c r="C15" i="7" s="1"/>
  <c r="B15" i="7"/>
  <c r="B14" i="7"/>
  <c r="L10" i="3"/>
  <c r="C14" i="7" s="1"/>
  <c r="B13" i="7"/>
  <c r="L9" i="3"/>
  <c r="C13" i="7" s="1"/>
  <c r="B12" i="7"/>
  <c r="L8" i="3"/>
  <c r="C12" i="7" s="1"/>
  <c r="K6" i="3"/>
  <c r="C5" i="7" s="1"/>
  <c r="A5" i="7"/>
  <c r="K19" i="3"/>
  <c r="E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0" authorId="0" shapeId="0" xr:uid="{00000000-0006-0000-0200-000001000000}">
      <text>
        <r>
          <rPr>
            <sz val="11"/>
            <color theme="1"/>
            <rFont val="Calibri"/>
            <family val="2"/>
            <scheme val="minor"/>
          </rPr>
          <t>Use the client’s own wording here. It drives the lead-priority logic and helps shape the follow-up conversation.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2" authorId="0" shapeId="0" xr:uid="{00000000-0006-0000-0300-000001000000}">
      <text>
        <r>
          <rPr>
            <sz val="11"/>
            <color theme="1"/>
            <rFont val="Calibri"/>
            <family val="2"/>
            <scheme val="minor"/>
          </rPr>
          <t>Record countries, business units, workstreams and any key exclusions.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0" authorId="0" shapeId="0" xr:uid="{00000000-0006-0000-0400-000001000000}">
      <text>
        <r>
          <rPr>
            <sz val="11"/>
            <color theme="1"/>
            <rFont val="Calibri"/>
            <family val="2"/>
            <scheme val="minor"/>
          </rPr>
          <t>Use the client’s own wording here. It drives the lead-priority logic and helps shape the follow-up conversation.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2" authorId="0" shapeId="0" xr:uid="{00000000-0006-0000-0500-000001000000}">
      <text>
        <r>
          <rPr>
            <sz val="11"/>
            <color theme="1"/>
            <rFont val="Calibri"/>
            <family val="2"/>
            <scheme val="minor"/>
          </rPr>
          <t>Record service towers, vendors, geographies and any exclusions.</t>
        </r>
      </text>
    </comment>
  </commentList>
</comments>
</file>

<file path=xl/sharedStrings.xml><?xml version="1.0" encoding="utf-8"?>
<sst xmlns="http://schemas.openxmlformats.org/spreadsheetml/2006/main" count="1025" uniqueCount="423">
  <si>
    <t>RAB Consulting Services - PHI &amp; ITSM Consultant Workbook</t>
  </si>
  <si>
    <t>Working assessment tool for live use while the website platform is being developed.</t>
  </si>
  <si>
    <t>Purpose</t>
  </si>
  <si>
    <t>Use this workbook to run client-facing snapshots and full consultant-led assessments for PHI and ITSM-HI.</t>
  </si>
  <si>
    <t>How to use</t>
  </si>
  <si>
    <t>Complete only blue cells. Review the linked dashboard sheet after scoring. Use the AI prompt sheets if you want a draft narrative.</t>
  </si>
  <si>
    <t>Scoring</t>
  </si>
  <si>
    <t>1 Critical failure / not in place | 2 Weak / inconsistent | 3 Partially controlled / at risk | 4 Controlled | 5 Strong / fully embedded</t>
  </si>
  <si>
    <t>Public snapshots</t>
  </si>
  <si>
    <t>PHI Snapshot and ITSM Snapshot are high-level lead diagnostics. Keep the result indicative and then offer a paid full review.</t>
  </si>
  <si>
    <t>Full assessments</t>
  </si>
  <si>
    <t>PHI Full and ITSM Full are consultant-only sheets with evidence notes, source type, confidence and summary dashboards.</t>
  </si>
  <si>
    <t>Key outputs</t>
  </si>
  <si>
    <t>PHI Full: Overall Score, RAG, BRI, VRI and Critical Flag. ITSM Full: Overall Score, RAG, SSI, SMI, BAU Readiness and Critical Flag.</t>
  </si>
  <si>
    <t>Config</t>
  </si>
  <si>
    <t>Keep thresholds aligned to the website build.</t>
  </si>
  <si>
    <t>Score</t>
  </si>
  <si>
    <t>Label</t>
  </si>
  <si>
    <t>Critical</t>
  </si>
  <si>
    <t>Weak</t>
  </si>
  <si>
    <t>At Risk</t>
  </si>
  <si>
    <t>Controlled</t>
  </si>
  <si>
    <t>Strong</t>
  </si>
  <si>
    <t>Threshold</t>
  </si>
  <si>
    <t>Value</t>
  </si>
  <si>
    <t>Meaning</t>
  </si>
  <si>
    <t>Red below</t>
  </si>
  <si>
    <t>Immediate risk</t>
  </si>
  <si>
    <t>Amber below</t>
  </si>
  <si>
    <t>At risk / partial control</t>
  </si>
  <si>
    <t>Green minimum</t>
  </si>
  <si>
    <t>Programme Health Check (PHI Snapshot)</t>
  </si>
  <si>
    <t>Public-facing lead diagnostic. Use only blue cells for input.</t>
  </si>
  <si>
    <t>Client / Assessor Name</t>
  </si>
  <si>
    <t>Assessment Summary</t>
  </si>
  <si>
    <t>Job Title</t>
  </si>
  <si>
    <t>Overall Score</t>
  </si>
  <si>
    <t>Company</t>
  </si>
  <si>
    <t>RAG Status</t>
  </si>
  <si>
    <t>Programme / Project Name</t>
  </si>
  <si>
    <t>Pillar Scores</t>
  </si>
  <si>
    <t>RAG</t>
  </si>
  <si>
    <t>Programme Type</t>
  </si>
  <si>
    <t>Governance &amp; Control</t>
  </si>
  <si>
    <t>Delivery Stage</t>
  </si>
  <si>
    <t>Planning &amp; Delivery</t>
  </si>
  <si>
    <t>Primary Concern</t>
  </si>
  <si>
    <t>Business Alignment</t>
  </si>
  <si>
    <t>Scoring guide</t>
  </si>
  <si>
    <t>1 Critical | 2 Weak | 3 At Risk | 4 Controlled | 5 Strong</t>
  </si>
  <si>
    <t>Change &amp; Adoption</t>
  </si>
  <si>
    <t>Data Readiness</t>
  </si>
  <si>
    <t>Solution &amp; Process Fit</t>
  </si>
  <si>
    <t>Question ID</t>
  </si>
  <si>
    <t>Pillar Code</t>
  </si>
  <si>
    <t>Pillar</t>
  </si>
  <si>
    <t>Question</t>
  </si>
  <si>
    <t>Status</t>
  </si>
  <si>
    <t>Notes / Context</t>
  </si>
  <si>
    <t>Cutover &amp; Go-Live</t>
  </si>
  <si>
    <t>P1_Q1</t>
  </si>
  <si>
    <t>P1</t>
  </si>
  <si>
    <t>Decision-making and escalation are clear and effective</t>
  </si>
  <si>
    <t>Delivery Capability</t>
  </si>
  <si>
    <t>P1_Q2</t>
  </si>
  <si>
    <t>Programme reporting reflects the true status</t>
  </si>
  <si>
    <t>Operational Readiness</t>
  </si>
  <si>
    <t>P2_Q1</t>
  </si>
  <si>
    <t>P2</t>
  </si>
  <si>
    <t>The delivery plan is realistic and credible</t>
  </si>
  <si>
    <t>P2_Q2</t>
  </si>
  <si>
    <t>Risks and dependencies are actively managed</t>
  </si>
  <si>
    <t>Indices &amp; Flags</t>
  </si>
  <si>
    <t>P3_Q1</t>
  </si>
  <si>
    <t>P3</t>
  </si>
  <si>
    <t>Business objectives and KPIs are clearly defined</t>
  </si>
  <si>
    <t>Lead Priority</t>
  </si>
  <si>
    <t>P3_Q2</t>
  </si>
  <si>
    <t>The business is actively engaged and accountable</t>
  </si>
  <si>
    <t>P4_Q1</t>
  </si>
  <si>
    <t>P4</t>
  </si>
  <si>
    <t>Users are prepared and involved in the programme</t>
  </si>
  <si>
    <t>P4_Q2</t>
  </si>
  <si>
    <t>Training and adoption readiness are on track</t>
  </si>
  <si>
    <t>P5_Q1</t>
  </si>
  <si>
    <t>P5</t>
  </si>
  <si>
    <t>Data quality and migration risks are understood</t>
  </si>
  <si>
    <t>P5_Q2</t>
  </si>
  <si>
    <t>The business is validating data readiness</t>
  </si>
  <si>
    <t>P6_Q1</t>
  </si>
  <si>
    <t>P6</t>
  </si>
  <si>
    <t>The solution supports real business processes</t>
  </si>
  <si>
    <t>P6_Q2</t>
  </si>
  <si>
    <t>Key design decisions are validated by the business</t>
  </si>
  <si>
    <t>P7_Q1</t>
  </si>
  <si>
    <t>P7</t>
  </si>
  <si>
    <t>Go-live planning is clear and realistic</t>
  </si>
  <si>
    <t>P7_Q2</t>
  </si>
  <si>
    <t>Business and operational readiness for Day 1 is understood</t>
  </si>
  <si>
    <t>P8_Q1</t>
  </si>
  <si>
    <t>P8</t>
  </si>
  <si>
    <t>The programme team has the required capability and capacity</t>
  </si>
  <si>
    <t>P8_Q2</t>
  </si>
  <si>
    <t>Vendors and partners are effectively managed</t>
  </si>
  <si>
    <t>P9_Q1</t>
  </si>
  <si>
    <t>P9</t>
  </si>
  <si>
    <t>The support model for go-live and BAU is defined</t>
  </si>
  <si>
    <t>P9_Q2</t>
  </si>
  <si>
    <t>The organisation is prepared to operate the solution</t>
  </si>
  <si>
    <t>Programme Health Index (Full Consultant Assessment)</t>
  </si>
  <si>
    <t>Consultant-led full review. Complete scores, evidence and assessor comments.</t>
  </si>
  <si>
    <t>Assessor Name</t>
  </si>
  <si>
    <t>Client Company</t>
  </si>
  <si>
    <t>Programme Name</t>
  </si>
  <si>
    <t>Governance &amp; Decision-Making</t>
  </si>
  <si>
    <t>Executive Sponsor</t>
  </si>
  <si>
    <t>Planning &amp; Delivery Control</t>
  </si>
  <si>
    <t>System Integrator / Vendor</t>
  </si>
  <si>
    <t>Business Alignment &amp; Value</t>
  </si>
  <si>
    <t>Assessment Date</t>
  </si>
  <si>
    <t>Change, Training &amp; Adoption</t>
  </si>
  <si>
    <t>Assessment Scope</t>
  </si>
  <si>
    <t>Data Readiness &amp; Migration</t>
  </si>
  <si>
    <t>Cutover &amp; Go-Live Readiness</t>
  </si>
  <si>
    <t>Delivery Capability &amp; Resourcing</t>
  </si>
  <si>
    <t>Evidence / Notes</t>
  </si>
  <si>
    <t>Source Type</t>
  </si>
  <si>
    <t>Confidence</t>
  </si>
  <si>
    <t>Assessor Comment</t>
  </si>
  <si>
    <t>Operational &amp; Automation Readiness</t>
  </si>
  <si>
    <t>Decision rights are clearly defined and understood.</t>
  </si>
  <si>
    <t>There is a functioning SteerCo with real authority.</t>
  </si>
  <si>
    <t>P1_Q3</t>
  </si>
  <si>
    <t>Escalations are timely and effective.</t>
  </si>
  <si>
    <t>Business Readiness Index</t>
  </si>
  <si>
    <t>P1_Q4</t>
  </si>
  <si>
    <t>Risks are openly discussed rather than filtered.</t>
  </si>
  <si>
    <t>Value Realisation Index</t>
  </si>
  <si>
    <t>P1_Q5</t>
  </si>
  <si>
    <t>Programme reporting is accurate and unmanipulated.</t>
  </si>
  <si>
    <t>Critical Flag</t>
  </si>
  <si>
    <t>P1_Q6</t>
  </si>
  <si>
    <t>Roles and responsibilities are clearly defined.</t>
  </si>
  <si>
    <t>P1_Q7</t>
  </si>
  <si>
    <t>Sponsorship is active and visible.</t>
  </si>
  <si>
    <t>There is a credible integrated plan.</t>
  </si>
  <si>
    <t>The critical path is clearly identified and tracked.</t>
  </si>
  <si>
    <t>P2_Q3</t>
  </si>
  <si>
    <t>Dependencies are actively managed.</t>
  </si>
  <si>
    <t>P2_Q4</t>
  </si>
  <si>
    <t>RAID management is effective and up to date.</t>
  </si>
  <si>
    <t>P2_Q5</t>
  </si>
  <si>
    <t>Milestones are meaningful rather than artificial.</t>
  </si>
  <si>
    <t>P2_Q6</t>
  </si>
  <si>
    <t>Delays are acknowledged early rather than hidden.</t>
  </si>
  <si>
    <t>P2_Q7</t>
  </si>
  <si>
    <t>Re-planning is structured rather than reactive.</t>
  </si>
  <si>
    <t>Business KPIs are clearly defined.</t>
  </si>
  <si>
    <t>A measurable baseline exists.</t>
  </si>
  <si>
    <t>P3_Q3</t>
  </si>
  <si>
    <t>Benefits are measurable.</t>
  </si>
  <si>
    <t>P3_Q4</t>
  </si>
  <si>
    <t>KPIs are owned by the business rather than IT alone.</t>
  </si>
  <si>
    <t>P3_Q5</t>
  </si>
  <si>
    <t>Sponsors are accountable for outcomes.</t>
  </si>
  <si>
    <t>P3_Q6</t>
  </si>
  <si>
    <t>KPIs are tracked during delivery.</t>
  </si>
  <si>
    <t>P3_Q7</t>
  </si>
  <si>
    <t>Dashboards exist for value tracking.</t>
  </si>
  <si>
    <t>P3_Q8</t>
  </si>
  <si>
    <t>Budget tracking is accurate.</t>
  </si>
  <si>
    <t>P3_Q9</t>
  </si>
  <si>
    <t>Overruns are identified early.</t>
  </si>
  <si>
    <t>P3_Q10</t>
  </si>
  <si>
    <t>Change costs are controlled.</t>
  </si>
  <si>
    <t>There is a structured training plan.</t>
  </si>
  <si>
    <t>Training is role-based.</t>
  </si>
  <si>
    <t>P4_Q3</t>
  </si>
  <si>
    <t>Training is completed or actively controlled.</t>
  </si>
  <si>
    <t>P4_Q4</t>
  </si>
  <si>
    <t>Attendance is tracked.</t>
  </si>
  <si>
    <t>P4_Q5</t>
  </si>
  <si>
    <t>Business SMEs are actively involved.</t>
  </si>
  <si>
    <t>P4_Q6</t>
  </si>
  <si>
    <t>Users contribute to design decisions.</t>
  </si>
  <si>
    <t>P4_Q7</t>
  </si>
  <si>
    <t>Business ownership is clear.</t>
  </si>
  <si>
    <t>P4_Q8</t>
  </si>
  <si>
    <t>Resistance points are identified.</t>
  </si>
  <si>
    <t>P4_Q9</t>
  </si>
  <si>
    <t>Change champions are in place.</t>
  </si>
  <si>
    <t>P4_Q10</t>
  </si>
  <si>
    <t>Adoption is measured.</t>
  </si>
  <si>
    <t>There is a defined data migration strategy.</t>
  </si>
  <si>
    <t>Data owners are clearly identified.</t>
  </si>
  <si>
    <t>P5_Q3</t>
  </si>
  <si>
    <t>Data quality is understood and measured.</t>
  </si>
  <si>
    <t>P5_Q4</t>
  </si>
  <si>
    <t>Data cleansing is actively managed.</t>
  </si>
  <si>
    <t>P5_Q5</t>
  </si>
  <si>
    <t>Mock migrations have been completed.</t>
  </si>
  <si>
    <t>P5_Q6</t>
  </si>
  <si>
    <t>Reconciliation is defined and tested.</t>
  </si>
  <si>
    <t>P5_Q7</t>
  </si>
  <si>
    <t>The business is validating migrated data.</t>
  </si>
  <si>
    <t>Processes are clearly defined.</t>
  </si>
  <si>
    <t>AS-IS and TO-BE are understood.</t>
  </si>
  <si>
    <t>P6_Q3</t>
  </si>
  <si>
    <t>The solution aligns with business needs.</t>
  </si>
  <si>
    <t>P6_Q4</t>
  </si>
  <si>
    <t>Over-customisation is controlled.</t>
  </si>
  <si>
    <t>P6_Q5</t>
  </si>
  <si>
    <t>Key design decisions are validated by business.</t>
  </si>
  <si>
    <t>P6_Q6</t>
  </si>
  <si>
    <t>Gaps are understood and documented.</t>
  </si>
  <si>
    <t>P6_Q7</t>
  </si>
  <si>
    <t>Workarounds are understood and acceptable where necessary.</t>
  </si>
  <si>
    <t>Data migration is tested end to end.</t>
  </si>
  <si>
    <t>Data reconciliation is validated.</t>
  </si>
  <si>
    <t>P7_Q3</t>
  </si>
  <si>
    <t>A data freeze plan exists.</t>
  </si>
  <si>
    <t>P7_Q4</t>
  </si>
  <si>
    <t>Data sign-offs are defined.</t>
  </si>
  <si>
    <t>P7_Q5</t>
  </si>
  <si>
    <t>Day 1 business processes are defined.</t>
  </si>
  <si>
    <t>P7_Q6</t>
  </si>
  <si>
    <t>Roles and responsibilities are clear.</t>
  </si>
  <si>
    <t>P7_Q7</t>
  </si>
  <si>
    <t>Manual processes are identified.</t>
  </si>
  <si>
    <t>P7_Q8</t>
  </si>
  <si>
    <t>Dependencies are mapped.</t>
  </si>
  <si>
    <t>P7_Q9</t>
  </si>
  <si>
    <t>A detailed cutover runbook exists.</t>
  </si>
  <si>
    <t>P7_Q10</t>
  </si>
  <si>
    <t>Timeline is defined at practical level.</t>
  </si>
  <si>
    <t>P7_Q11</t>
  </si>
  <si>
    <t>Rehearsals have been completed.</t>
  </si>
  <si>
    <t>P7_Q12</t>
  </si>
  <si>
    <t>The support model is defined.</t>
  </si>
  <si>
    <t>P7_Q13</t>
  </si>
  <si>
    <t>Escalation paths are clear.</t>
  </si>
  <si>
    <t>P7_Q14</t>
  </si>
  <si>
    <t>Hypercare is planned.</t>
  </si>
  <si>
    <t>P7_Q15</t>
  </si>
  <si>
    <t>SLAs and support expectations are defined.</t>
  </si>
  <si>
    <t>The team structure is fit for purpose.</t>
  </si>
  <si>
    <t>Key roles are filled.</t>
  </si>
  <si>
    <t>P8_Q3</t>
  </si>
  <si>
    <t>Capability gaps are known and addressed.</t>
  </si>
  <si>
    <t>P8_Q4</t>
  </si>
  <si>
    <t>SI/vendor is managed effectively.</t>
  </si>
  <si>
    <t>P8_Q5</t>
  </si>
  <si>
    <t>PMO is functioning properly.</t>
  </si>
  <si>
    <t>P8_Q6</t>
  </si>
  <si>
    <t>Workload is realistic.</t>
  </si>
  <si>
    <t>P8_Q7</t>
  </si>
  <si>
    <t>Team stability is maintained.</t>
  </si>
  <si>
    <t>Reporting is automated where appropriate.</t>
  </si>
  <si>
    <t>Data is structured for analytics.</t>
  </si>
  <si>
    <t>P9_Q3</t>
  </si>
  <si>
    <t>Automation opportunities are identified.</t>
  </si>
  <si>
    <t>P9_Q4</t>
  </si>
  <si>
    <t>Automation or AI is considered in the roadmap where relevant.</t>
  </si>
  <si>
    <t>P9_Q5</t>
  </si>
  <si>
    <t>Processes are standardised enough for automation.</t>
  </si>
  <si>
    <t>Service Health Check (ITSM-HI Snapshot)</t>
  </si>
  <si>
    <t>Public-facing service diagnostic. Use only blue cells for input.</t>
  </si>
  <si>
    <t>Service / Platform Name</t>
  </si>
  <si>
    <t>Service Scope</t>
  </si>
  <si>
    <t>Service Governance &amp; Ownership</t>
  </si>
  <si>
    <t>Support Model</t>
  </si>
  <si>
    <t>Incident &amp; Major Incident Management</t>
  </si>
  <si>
    <t>Service Request Management</t>
  </si>
  <si>
    <t>Problem Management</t>
  </si>
  <si>
    <t>Change &amp; Release Management</t>
  </si>
  <si>
    <t>Service Performance, SLA &amp; Reporting</t>
  </si>
  <si>
    <t>Service Transition &amp; BAU Readiness</t>
  </si>
  <si>
    <t>Service ownership and accountability are clearly defined.</t>
  </si>
  <si>
    <t>Service Operations &amp; Support Model</t>
  </si>
  <si>
    <t>Service governance and performance review are active and effective.</t>
  </si>
  <si>
    <t>Supplier &amp; Vendor Service Management</t>
  </si>
  <si>
    <t>Incidents are resolved in a controlled and timely manner.</t>
  </si>
  <si>
    <t>Operational Resilience &amp; Continuity</t>
  </si>
  <si>
    <t>Major incidents are handled with clear escalation and communication.</t>
  </si>
  <si>
    <t>Automation, Tooling &amp; Service Optimisation</t>
  </si>
  <si>
    <t>Service requests are standardised and clearly separated from incidents.</t>
  </si>
  <si>
    <t>Requests are fulfilled efficiently and within expected timescales.</t>
  </si>
  <si>
    <t>Recurring issues are investigated and root causes addressed.</t>
  </si>
  <si>
    <t>Service Stability Index</t>
  </si>
  <si>
    <t>Problem management reduces repeat incidents over time.</t>
  </si>
  <si>
    <t>Service Maturity Index</t>
  </si>
  <si>
    <t>Changes are controlled and do not regularly create instability.</t>
  </si>
  <si>
    <t>BAU Readiness Index</t>
  </si>
  <si>
    <t>Releases are planned, tested, and deployed in a structured way.</t>
  </si>
  <si>
    <t>SLAs and KPIs reflect real service performance.</t>
  </si>
  <si>
    <t>Reporting is trusted and used to drive improvement.</t>
  </si>
  <si>
    <t>New or changed services are handed over to BAU in a structured way.</t>
  </si>
  <si>
    <t>Documentation, training, and knowledge transfer support live operations.</t>
  </si>
  <si>
    <t>The support model is clear and effective in practice.</t>
  </si>
  <si>
    <t>Ticket ownership, escalation, and backlog control are working.</t>
  </si>
  <si>
    <t>Vendors are accountable for service performance.</t>
  </si>
  <si>
    <t>Internal and external teams work in a coordinated way.</t>
  </si>
  <si>
    <t>P10_Q1</t>
  </si>
  <si>
    <t>P10</t>
  </si>
  <si>
    <t>Disaster recovery, backup, and continuity controls are reliable.</t>
  </si>
  <si>
    <t>P10_Q2</t>
  </si>
  <si>
    <t>Critical service failure scenarios are understood and planned for.</t>
  </si>
  <si>
    <t>P11_Q1</t>
  </si>
  <si>
    <t>P11</t>
  </si>
  <si>
    <t>Service processes are supported by effective tools and automation.</t>
  </si>
  <si>
    <t>P11_Q2</t>
  </si>
  <si>
    <t>Self-service, knowledge management, or workflow optimisation is in place.</t>
  </si>
  <si>
    <t>ITSM Health Index (Full Consultant Assessment)</t>
  </si>
  <si>
    <t>Consultant-led service health and operational maturity review.</t>
  </si>
  <si>
    <t>Service Name</t>
  </si>
  <si>
    <t>Service Criticality</t>
  </si>
  <si>
    <t>Service Hours</t>
  </si>
  <si>
    <t>Service ownership is clearly defined across business and IT.</t>
  </si>
  <si>
    <t>The service catalogue exists and is maintained.</t>
  </si>
  <si>
    <t>Governance forums for service performance are active and effective.</t>
  </si>
  <si>
    <t>SLA and KPI ownership is clearly assigned.</t>
  </si>
  <si>
    <t>Decision-making and escalation paths are structured.</t>
  </si>
  <si>
    <t>Incident management is defined and consistently followed.</t>
  </si>
  <si>
    <t>MTTR is tracked and actively improved.</t>
  </si>
  <si>
    <t>Major incident handling is structured and controlled.</t>
  </si>
  <si>
    <t>Escalation paths are clear and respected.</t>
  </si>
  <si>
    <t>Incident communication is timely and effective.</t>
  </si>
  <si>
    <t>Incident trends are analysed.</t>
  </si>
  <si>
    <t>The service request catalogue is defined and maintained.</t>
  </si>
  <si>
    <t>Requests are clearly separated from incidents.</t>
  </si>
  <si>
    <t>Standard requests are documented and repeatable.</t>
  </si>
  <si>
    <t>Request fulfilment times are defined and tracked.</t>
  </si>
  <si>
    <t>Self-service capability exists where appropriate.</t>
  </si>
  <si>
    <t>Request fulfilment is automated where possible.</t>
  </si>
  <si>
    <t>Problems are formally logged and prioritised.</t>
  </si>
  <si>
    <t>Root Cause Analysis is performed effectively.</t>
  </si>
  <si>
    <t>A Known Error Database is maintained where appropriate.</t>
  </si>
  <si>
    <t>Recurring incidents reduce over time.</t>
  </si>
  <si>
    <t>Problem ownership is clearly assigned.</t>
  </si>
  <si>
    <t>Corrective fixes are implemented, not just analysed.</t>
  </si>
  <si>
    <t>The change process is controlled and enforced.</t>
  </si>
  <si>
    <t>The Change Advisory Board is effective where required.</t>
  </si>
  <si>
    <t>Emergency changes are managed appropriately.</t>
  </si>
  <si>
    <t>Release planning is structured and controlled.</t>
  </si>
  <si>
    <t>Deployment success rate is tracked.</t>
  </si>
  <si>
    <t>Change failure rate is monitored and acted upon.</t>
  </si>
  <si>
    <t>SLAs are clearly defined and understood.</t>
  </si>
  <si>
    <t>KPIs reflect meaningful service outcomes.</t>
  </si>
  <si>
    <t>Service dashboards exist and are used.</t>
  </si>
  <si>
    <t>Service performance is reviewed regularly with stakeholders.</t>
  </si>
  <si>
    <t>SLA breaches are analysed and acted upon.</t>
  </si>
  <si>
    <t>Business satisfaction is measured.</t>
  </si>
  <si>
    <t>Handover from project to BAU is structured and controlled.</t>
  </si>
  <si>
    <t>The support model is clearly defined.</t>
  </si>
  <si>
    <t>Operational documentation is complete and usable.</t>
  </si>
  <si>
    <t>Knowledge transfer has been completed effectively.</t>
  </si>
  <si>
    <t>Training has been delivered and validated.</t>
  </si>
  <si>
    <t>Early life support / hypercare is structured.</t>
  </si>
  <si>
    <t>Service Desk effectiveness is understood and managed.</t>
  </si>
  <si>
    <t>Ticket routing and ownership are clear.</t>
  </si>
  <si>
    <t>Escalation operates effectively in practice.</t>
  </si>
  <si>
    <t>On-call or out-of-hours support is defined where needed.</t>
  </si>
  <si>
    <t>Workload is manageable across support teams.</t>
  </si>
  <si>
    <t>Backlog is controlled and visible.</t>
  </si>
  <si>
    <t>Vendor SLAs are clearly defined.</t>
  </si>
  <si>
    <t>Supplier performance is measured.</t>
  </si>
  <si>
    <t>Accountability between internal and vendor teams is clear.</t>
  </si>
  <si>
    <t>Internal and external service teams are integrated effectively.</t>
  </si>
  <si>
    <t>Contractual commitments reflect operational reality.</t>
  </si>
  <si>
    <t>P9_Q6</t>
  </si>
  <si>
    <t>Vendor dependency risks are understood and managed.</t>
  </si>
  <si>
    <t>Disaster recovery plans exist and are current.</t>
  </si>
  <si>
    <t>Business continuity plans exist and are current.</t>
  </si>
  <si>
    <t>P10_Q3</t>
  </si>
  <si>
    <t>DR and continuity testing is performed.</t>
  </si>
  <si>
    <t>P10_Q4</t>
  </si>
  <si>
    <t>Backup and restore processes are reliable.</t>
  </si>
  <si>
    <t>P10_Q5</t>
  </si>
  <si>
    <t>Critical services are identified and prioritised.</t>
  </si>
  <si>
    <t>P10_Q6</t>
  </si>
  <si>
    <t>Failure scenarios are understood and planned for.</t>
  </si>
  <si>
    <t>Service operations are supported by appropriate tooling.</t>
  </si>
  <si>
    <t>Manual processes are reduced where possible.</t>
  </si>
  <si>
    <t>P11_Q3</t>
  </si>
  <si>
    <t>Self-service and knowledge capability are effective.</t>
  </si>
  <si>
    <t>P11_Q4</t>
  </si>
  <si>
    <t>Request and workflow automation is in place where valuable.</t>
  </si>
  <si>
    <t>P11_Q5</t>
  </si>
  <si>
    <t>Continuous improvement activity is active.</t>
  </si>
  <si>
    <t>P11_Q6</t>
  </si>
  <si>
    <t>AI or predictive capability is considered where relevant.</t>
  </si>
  <si>
    <t>PHI Snapshot Dashboard</t>
  </si>
  <si>
    <t>Use after completing the Programme Health Check input sheet.</t>
  </si>
  <si>
    <t>PHI Full Dashboard</t>
  </si>
  <si>
    <t>Consultant view of the full Programme Health Index assessment.</t>
  </si>
  <si>
    <t>ITSM Snapshot Dashboard</t>
  </si>
  <si>
    <t>Use after completing the Service Health Check input sheet.</t>
  </si>
  <si>
    <t>ITSM Full Dashboard</t>
  </si>
  <si>
    <t>Consultant view of the full ITSM Health Index assessment.</t>
  </si>
  <si>
    <t>AI Prompt Builder - PHI</t>
  </si>
  <si>
    <t>Copy the prompt below and pair it with the relevant dashboard scores and evidence notes from the input sheet.</t>
  </si>
  <si>
    <t>PHI Snapshot Prompt</t>
  </si>
  <si>
    <t>Use this when</t>
  </si>
  <si>
    <t>Use after completing PHI Snapshot. Copy the dashboard scores and the primary concern into your chat alongside this prompt.</t>
  </si>
  <si>
    <t>Prompt</t>
  </si>
  <si>
    <t>You are a senior programme assurance consultant. Analyse this Programme Health Check using the supplied client metadata, overall score, RAG status, pillar scores and primary concern. Provide: 1) concise executive view, 2) top 3 risks, 3) likely root causes, 4) immediate next actions.</t>
  </si>
  <si>
    <t>PHI Full Prompt</t>
  </si>
  <si>
    <t>Use after completing PHI Full. Copy the dashboard metrics and any relevant evidence/comment rows into your chat alongside this prompt.</t>
  </si>
  <si>
    <t>You are a senior programme recovery expert. Analyse this full Programme Health Index assessment using the supplied client metadata, overall score, RAG status, BRI, VRI, pillar scores, evidence notes and assessor comments. Produce: executive summary, top 5 risks, recovery priorities, and a 0-30 / 31-60 / 61-90 day roadmap.</t>
  </si>
  <si>
    <t>AI Prompt Builder - ITSM</t>
  </si>
  <si>
    <t>ITSM Snapshot Prompt</t>
  </si>
  <si>
    <t>Use after completing ITSM Snapshot. Copy the dashboard scores and the primary concern into your chat alongside this prompt.</t>
  </si>
  <si>
    <t>You are a senior ITSM and service operations consultant. Analyse this Service Health Check using the supplied client metadata, overall score, RAG status, SSI, SMI, BAU readiness, pillar scores and primary concern. Provide: 1) concise service health view, 2) top 3 operational risks, 3) likely causes, 4) immediate stabilisation actions.</t>
  </si>
  <si>
    <t>ITSM Full Prompt</t>
  </si>
  <si>
    <t>Use after completing ITSM Full. Copy the dashboard metrics and any relevant evidence/comment rows into your chat alongside this prompt.</t>
  </si>
  <si>
    <t>You are a senior ITSM, service transition and operational resilience consultant. Analyse this full ITSM Health Index assessment using the supplied client metadata, overall score, RAG status, SSI, SMI, BAU readiness, pillar scores, evidence notes and assessor comments. Produce: executive summary, top 5 risks, stabilisation priorities, and a 0-30 / 31-60 / 61-90 day roadmap.</t>
  </si>
  <si>
    <t>rayan</t>
  </si>
  <si>
    <t>Director</t>
  </si>
  <si>
    <t>RRC CO</t>
  </si>
  <si>
    <t>testrag</t>
  </si>
  <si>
    <t>Finance Transformation</t>
  </si>
  <si>
    <t>Design</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</si>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</sst>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Calibri"/>
    </font>
    <font>
      <i/>
      <sz val="9"/>
      <color rgb="FF666666"/>
      <name val="Calibri"/>
    </font>
    <font>
      <b/>
      <sz val="10"/>
      <color rgb="FF000000"/>
      <name val="Calibri"/>
    </font>
    <font>
      <sz val="10"/>
      <color rgb="FF000000"/>
      <name val="Calibri"/>
    </font>
    <font>
      <sz val="10"/>
      <color rgb="FF666666"/>
      <name val="Calibri"/>
    </font>
    <font>
      <sz val="10"/>
      <color rgb="FF0000FF"/>
      <name val="Calibri"/>
    </font>
    <font>
      <b/>
      <sz val="11"/>
      <color rgb="FFFFFFFF"/>
      <name val="Calibri"/>
    </font>
    <font>
      <b/>
      <sz val="18"/>
      <color rgb="FF0B1F3B"/>
      <name val="Calibri"/>
    </font>
  </fonts>
  <fills count="8">
    <fill>
      <patternFill patternType="none"/>
    </fill>
    <fill>
      <patternFill patternType="gray125"/>
    </fill>
    <fill>
      <patternFill patternType="solid">
        <fgColor rgb="FF0B1F3B"/>
      </patternFill>
    </fill>
    <fill>
      <patternFill patternType="solid">
        <fgColor rgb="FFF3F4F6"/>
      </patternFill>
    </fill>
    <fill>
      <patternFill patternType="solid">
        <fgColor rgb="FFD9EAF7"/>
      </patternFill>
    </fill>
    <fill>
      <patternFill patternType="solid">
        <fgColor rgb="FFEAF3FF"/>
      </patternFill>
    </fill>
    <fill>
      <patternFill patternType="solid">
        <fgColor rgb="FFEADCF8"/>
      </patternFill>
    </fill>
    <fill>
      <patternFill patternType="solid">
        <fgColor rgb="FFFFF2CC"/>
      </patternFill>
    </fill>
  </fills>
  <borders count="4">
    <border>
      <left/>
      <right/>
      <top/>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
      <left/>
      <right/>
      <top style="thin">
        <color rgb="FFD0D7DE"/>
      </top>
      <bottom style="thin">
        <color rgb="FFD0D7DE"/>
      </bottom>
      <diagonal/>
    </border>
  </borders>
  <cellStyleXfs count="1">
    <xf numFmtId="0" fontId="0" fillId="0" borderId="0"/>
  </cellStyleXfs>
  <cellXfs count="25">
    <xf numFmtId="0" fontId="0" fillId="0" borderId="0" xfId="0"/>
    <xf numFmtId="0" fontId="3" fillId="3" borderId="1" xfId="0" applyFont="1" applyFill="1" applyBorder="1" applyAlignment="1">
      <alignment horizontal="left" vertical="center"/>
    </xf>
    <xf numFmtId="0" fontId="4" fillId="3" borderId="1" xfId="0" applyFont="1" applyFill="1" applyBorder="1" applyAlignment="1">
      <alignment horizontal="left" vertical="top" wrapText="1"/>
    </xf>
    <xf numFmtId="0" fontId="3" fillId="4" borderId="1" xfId="0" applyFont="1" applyFill="1" applyBorder="1" applyAlignment="1">
      <alignment horizontal="left" vertical="center"/>
    </xf>
    <xf numFmtId="0" fontId="5" fillId="3" borderId="1" xfId="0" applyFont="1" applyFill="1" applyBorder="1" applyAlignment="1">
      <alignment horizontal="left" vertical="center"/>
    </xf>
    <xf numFmtId="0" fontId="6" fillId="5" borderId="1" xfId="0" applyFont="1" applyFill="1" applyBorder="1" applyAlignment="1">
      <alignment horizontal="left" vertical="center"/>
    </xf>
    <xf numFmtId="0" fontId="4" fillId="6"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3" borderId="1" xfId="0" applyFont="1" applyFill="1" applyBorder="1" applyAlignment="1">
      <alignment horizontal="left" vertical="center"/>
    </xf>
    <xf numFmtId="0" fontId="5" fillId="0" borderId="1" xfId="0" applyFont="1" applyBorder="1" applyAlignment="1">
      <alignment horizontal="left" vertical="center"/>
    </xf>
    <xf numFmtId="0" fontId="4" fillId="0" borderId="1" xfId="0" applyFont="1" applyBorder="1" applyAlignment="1">
      <alignment horizontal="left" vertical="top" wrapText="1"/>
    </xf>
    <xf numFmtId="0" fontId="6"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6" fillId="5" borderId="1" xfId="0" applyFont="1" applyFill="1" applyBorder="1" applyAlignment="1">
      <alignment horizontal="left" vertical="top" wrapText="1"/>
    </xf>
    <xf numFmtId="0" fontId="1" fillId="2" borderId="0" xfId="0" applyFont="1" applyFill="1" applyAlignment="1">
      <alignment horizontal="left" vertical="center"/>
    </xf>
    <xf numFmtId="0" fontId="0" fillId="0" borderId="0" xfId="0"/>
    <xf numFmtId="0" fontId="7" fillId="2" borderId="0" xfId="0" applyFont="1" applyFill="1" applyAlignment="1">
      <alignment horizontal="center" vertical="center"/>
    </xf>
    <xf numFmtId="0" fontId="8" fillId="6" borderId="1" xfId="0" applyFont="1" applyFill="1" applyBorder="1" applyAlignment="1">
      <alignment horizontal="center" vertical="center"/>
    </xf>
    <xf numFmtId="0" fontId="0" fillId="0" borderId="2" xfId="0" applyBorder="1"/>
    <xf numFmtId="0" fontId="2" fillId="0" borderId="0" xfId="0" applyFont="1" applyAlignment="1">
      <alignment horizontal="left" vertical="center"/>
    </xf>
    <xf numFmtId="0" fontId="4" fillId="6" borderId="1" xfId="0" applyFont="1" applyFill="1" applyBorder="1" applyAlignment="1">
      <alignment horizontal="center" vertical="center"/>
    </xf>
    <xf numFmtId="0" fontId="4" fillId="3" borderId="1" xfId="0" applyFont="1" applyFill="1" applyBorder="1" applyAlignment="1">
      <alignment horizontal="left" vertical="center"/>
    </xf>
    <xf numFmtId="0" fontId="0" fillId="0" borderId="3" xfId="0" applyBorder="1"/>
    <xf numFmtId="0" fontId="4" fillId="7" borderId="1" xfId="0" applyFont="1" applyFill="1" applyBorder="1" applyAlignment="1">
      <alignment horizontal="center" vertical="center"/>
    </xf>
    <xf numFmtId="0" fontId="7" fillId="2" borderId="0" xfId="0" applyFont="1" applyFill="1" applyAlignment="1">
      <alignment horizontal="left" vertical="center"/>
    </xf>
  </cellXfs>
  <cellStyles count="1">
    <cellStyle name="Normal" xfId="0" builtinId="0"/>
  </cellStyles>
  <dxfs count="96">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Pillar Scores</a:t>
            </a:r>
          </a:p>
        </c:rich>
      </c:tx>
      <c:overlay val="1"/>
    </c:title>
    <c:autoTitleDeleted val="0"/>
    <c:plotArea>
      <c:layout/>
      <c:barChart>
        <c:barDir val="bar"/>
        <c:grouping val="clustered"/>
        <c:varyColors val="1"/>
        <c:ser>
          <c:idx val="0"/>
          <c:order val="0"/>
          <c:tx>
            <c:strRef>
              <c:f>'PHI Snapshot Dash'!$B$11</c:f>
              <c:strCache>
                <c:ptCount val="1"/>
                <c:pt idx="0">
                  <c:v>Score</c:v>
                </c:pt>
              </c:strCache>
            </c:strRef>
          </c:tx>
          <c:spPr>
            <a:ln>
              <a:prstDash val="solid"/>
            </a:ln>
          </c:spPr>
          <c:invertIfNegative val="1"/>
          <c:cat>
            <c:strRef>
              <c:f>'PHI Snapshot Dash'!$A$12:$A$20</c:f>
              <c:strCache>
                <c:ptCount val="9"/>
                <c:pt idx="0">
                  <c:v>Governance &amp; Control</c:v>
                </c:pt>
                <c:pt idx="1">
                  <c:v>Planning &amp; Delivery</c:v>
                </c:pt>
                <c:pt idx="2">
                  <c:v>Business Alignment</c:v>
                </c:pt>
                <c:pt idx="3">
                  <c:v>Change &amp; Adoption</c:v>
                </c:pt>
                <c:pt idx="4">
                  <c:v>Data Readiness</c:v>
                </c:pt>
                <c:pt idx="5">
                  <c:v>Solution &amp; Process Fit</c:v>
                </c:pt>
                <c:pt idx="6">
                  <c:v>Cutover &amp; Go-Live</c:v>
                </c:pt>
                <c:pt idx="7">
                  <c:v>Delivery Capability</c:v>
                </c:pt>
                <c:pt idx="8">
                  <c:v>Operational Readiness</c:v>
                </c:pt>
              </c:strCache>
            </c:strRef>
          </c:cat>
          <c:val>
            <c:numRef>
              <c:f>'PHI Snapshot Dash'!$B$12:$B$20</c:f>
              <c:numCache>
                <c:formatCode>General</c:formatCode>
                <c:ptCount val="9"/>
                <c:pt idx="0">
                  <c:v>3</c:v>
                </c:pt>
                <c:pt idx="1">
                  <c:v>4</c:v>
                </c:pt>
                <c:pt idx="2">
                  <c:v>3</c:v>
                </c:pt>
                <c:pt idx="3">
                  <c:v>3</c:v>
                </c:pt>
                <c:pt idx="4">
                  <c:v>4</c:v>
                </c:pt>
                <c:pt idx="5">
                  <c:v>4</c:v>
                </c:pt>
                <c:pt idx="6">
                  <c:v>4</c:v>
                </c:pt>
                <c:pt idx="7">
                  <c:v>4</c:v>
                </c:pt>
                <c:pt idx="8">
                  <c:v>4</c:v>
                </c:pt>
              </c:numCache>
            </c:numRef>
          </c:val>
          <c:extLst>
            <c:ext xmlns:c16="http://schemas.microsoft.com/office/drawing/2014/chart" uri="{C3380CC4-5D6E-409C-BE32-E72D297353CC}">
              <c16:uniqueId val="{00000000-9D7A-4B20-B78C-979325535505}"/>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Score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Pillar</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Pillar Scores</a:t>
            </a:r>
          </a:p>
        </c:rich>
      </c:tx>
      <c:overlay val="1"/>
    </c:title>
    <c:autoTitleDeleted val="0"/>
    <c:plotArea>
      <c:layout/>
      <c:barChart>
        <c:barDir val="bar"/>
        <c:grouping val="clustered"/>
        <c:varyColors val="1"/>
        <c:ser>
          <c:idx val="0"/>
          <c:order val="0"/>
          <c:tx>
            <c:strRef>
              <c:f>'PHI Full Dash'!$B$11</c:f>
              <c:strCache>
                <c:ptCount val="1"/>
                <c:pt idx="0">
                  <c:v>Score</c:v>
                </c:pt>
              </c:strCache>
            </c:strRef>
          </c:tx>
          <c:spPr>
            <a:ln>
              <a:prstDash val="solid"/>
            </a:ln>
          </c:spPr>
          <c:invertIfNegative val="1"/>
          <c:cat>
            <c:strRef>
              <c:f>'PHI Full Dash'!$A$12:$A$20</c:f>
              <c:strCache>
                <c:ptCount val="9"/>
                <c:pt idx="0">
                  <c:v>Governance &amp; Decision-Making</c:v>
                </c:pt>
                <c:pt idx="1">
                  <c:v>Planning &amp; Delivery Control</c:v>
                </c:pt>
                <c:pt idx="2">
                  <c:v>Business Alignment &amp; Value</c:v>
                </c:pt>
                <c:pt idx="3">
                  <c:v>Change, Training &amp; Adoption</c:v>
                </c:pt>
                <c:pt idx="4">
                  <c:v>Data Readiness &amp; Migration</c:v>
                </c:pt>
                <c:pt idx="5">
                  <c:v>Solution &amp; Process Fit</c:v>
                </c:pt>
                <c:pt idx="6">
                  <c:v>Cutover &amp; Go-Live Readiness</c:v>
                </c:pt>
                <c:pt idx="7">
                  <c:v>Delivery Capability &amp; Resourcing</c:v>
                </c:pt>
                <c:pt idx="8">
                  <c:v>Operational &amp; Automation Readiness</c:v>
                </c:pt>
              </c:strCache>
            </c:strRef>
          </c:cat>
          <c:val>
            <c:numRef>
              <c:f>'PHI Full Dash'!$B$12:$B$20</c:f>
              <c:numCache>
                <c:formatCode>General</c:formatCode>
                <c:ptCount val="9"/>
                <c:pt idx="0">
                  <c:v>3</c:v>
                </c:pt>
                <c:pt idx="1">
                  <c:v>3</c:v>
                </c:pt>
                <c:pt idx="2">
                  <c:v>3</c:v>
                </c:pt>
                <c:pt idx="3">
                  <c:v>3</c:v>
                </c:pt>
                <c:pt idx="4">
                  <c:v>3</c:v>
                </c:pt>
                <c:pt idx="5">
                  <c:v>3</c:v>
                </c:pt>
                <c:pt idx="6">
                  <c:v>3.2</c:v>
                </c:pt>
                <c:pt idx="7">
                  <c:v>2.86</c:v>
                </c:pt>
                <c:pt idx="8">
                  <c:v>2</c:v>
                </c:pt>
              </c:numCache>
            </c:numRef>
          </c:val>
          <c:extLst>
            <c:ext xmlns:c16="http://schemas.microsoft.com/office/drawing/2014/chart" uri="{C3380CC4-5D6E-409C-BE32-E72D297353CC}">
              <c16:uniqueId val="{00000000-0079-4A84-8351-F453A047948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Score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Pillar</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Pillar Scores</a:t>
            </a:r>
          </a:p>
        </c:rich>
      </c:tx>
      <c:overlay val="1"/>
    </c:title>
    <c:autoTitleDeleted val="0"/>
    <c:plotArea>
      <c:layout/>
      <c:barChart>
        <c:barDir val="bar"/>
        <c:grouping val="clustered"/>
        <c:varyColors val="1"/>
        <c:ser>
          <c:idx val="0"/>
          <c:order val="0"/>
          <c:tx>
            <c:strRef>
              <c:f>'ITSM Snapshot Dash'!$B$11</c:f>
              <c:strCache>
                <c:ptCount val="1"/>
                <c:pt idx="0">
                  <c:v>Score</c:v>
                </c:pt>
              </c:strCache>
            </c:strRef>
          </c:tx>
          <c:spPr>
            <a:ln>
              <a:prstDash val="solid"/>
            </a:ln>
          </c:spPr>
          <c:invertIfNegative val="1"/>
          <c:cat>
            <c:strRef>
              <c:f>'ITSM Snapshot Dash'!$A$12:$A$22</c:f>
              <c:strCache>
                <c:ptCount val="11"/>
                <c:pt idx="0">
                  <c:v>Service Governance &amp; Ownership</c:v>
                </c:pt>
                <c:pt idx="1">
                  <c:v>Incident &amp; Major Incident Management</c:v>
                </c:pt>
                <c:pt idx="2">
                  <c:v>Service Request Management</c:v>
                </c:pt>
                <c:pt idx="3">
                  <c:v>Problem Management</c:v>
                </c:pt>
                <c:pt idx="4">
                  <c:v>Change &amp; Release Management</c:v>
                </c:pt>
                <c:pt idx="5">
                  <c:v>Service Performance, SLA &amp; Reporting</c:v>
                </c:pt>
                <c:pt idx="6">
                  <c:v>Service Transition &amp; BAU Readiness</c:v>
                </c:pt>
                <c:pt idx="7">
                  <c:v>Service Operations &amp; Support Model</c:v>
                </c:pt>
                <c:pt idx="8">
                  <c:v>Supplier &amp; Vendor Service Management</c:v>
                </c:pt>
                <c:pt idx="9">
                  <c:v>Operational Resilience &amp; Continuity</c:v>
                </c:pt>
                <c:pt idx="10">
                  <c:v>Automation, Tooling &amp; Service Optimisation</c:v>
                </c:pt>
              </c:strCache>
            </c:strRef>
          </c:cat>
          <c:val>
            <c:numRef>
              <c:f>'ITSM Snapshot Dash'!$B$12:$B$22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0DA-44B9-BEE4-99793BF3227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Score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Pillar</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Pillar Scores</a:t>
            </a:r>
          </a:p>
        </c:rich>
      </c:tx>
      <c:overlay val="1"/>
    </c:title>
    <c:autoTitleDeleted val="0"/>
    <c:plotArea>
      <c:layout/>
      <c:barChart>
        <c:barDir val="bar"/>
        <c:grouping val="clustered"/>
        <c:varyColors val="1"/>
        <c:ser>
          <c:idx val="0"/>
          <c:order val="0"/>
          <c:tx>
            <c:strRef>
              <c:f>'ITSM Full Dash'!$B$11</c:f>
              <c:strCache>
                <c:ptCount val="1"/>
                <c:pt idx="0">
                  <c:v>Score</c:v>
                </c:pt>
              </c:strCache>
            </c:strRef>
          </c:tx>
          <c:spPr>
            <a:ln>
              <a:prstDash val="solid"/>
            </a:ln>
          </c:spPr>
          <c:invertIfNegative val="1"/>
          <c:cat>
            <c:strRef>
              <c:f>'ITSM Full Dash'!$A$12:$A$22</c:f>
              <c:strCache>
                <c:ptCount val="11"/>
                <c:pt idx="0">
                  <c:v>Service Governance &amp; Ownership</c:v>
                </c:pt>
                <c:pt idx="1">
                  <c:v>Incident &amp; Major Incident Management</c:v>
                </c:pt>
                <c:pt idx="2">
                  <c:v>Service Request Management</c:v>
                </c:pt>
                <c:pt idx="3">
                  <c:v>Problem Management</c:v>
                </c:pt>
                <c:pt idx="4">
                  <c:v>Change &amp; Release Management</c:v>
                </c:pt>
                <c:pt idx="5">
                  <c:v>Service Performance, SLA &amp; Reporting</c:v>
                </c:pt>
                <c:pt idx="6">
                  <c:v>Service Transition &amp; BAU Readiness</c:v>
                </c:pt>
                <c:pt idx="7">
                  <c:v>Service Operations &amp; Support Model</c:v>
                </c:pt>
                <c:pt idx="8">
                  <c:v>Supplier &amp; Vendor Service Management</c:v>
                </c:pt>
                <c:pt idx="9">
                  <c:v>Operational Resilience &amp; Continuity</c:v>
                </c:pt>
                <c:pt idx="10">
                  <c:v>Automation, Tooling &amp; Service Optimisation</c:v>
                </c:pt>
              </c:strCache>
            </c:strRef>
          </c:cat>
          <c:val>
            <c:numRef>
              <c:f>'ITSM Full Dash'!$B$12:$B$22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B83-4FB0-AB96-701C9AF9FFB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Score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Pillar</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selection sqref="A1:H1"/>
    </sheetView>
  </sheetViews>
  <sheetFormatPr defaultRowHeight="14.25" x14ac:dyDescent="0.45"/>
  <cols>
    <col min="1" max="1" width="24" customWidth="1"/>
    <col min="2" max="2" width="92" customWidth="1"/>
  </cols>
  <sheetData>
    <row r="1" spans="1:8" ht="24" customHeight="1" x14ac:dyDescent="0.45">
      <c r="A1" s="14" t="s">
        <v>0</v>
      </c>
      <c r="B1" s="15"/>
      <c r="C1" s="15"/>
      <c r="D1" s="15"/>
      <c r="E1" s="15"/>
      <c r="F1" s="15"/>
      <c r="G1" s="15"/>
      <c r="H1" s="15"/>
    </row>
    <row r="2" spans="1:8" ht="26" customHeight="1" x14ac:dyDescent="0.45">
      <c r="A2" s="19" t="s">
        <v>1</v>
      </c>
      <c r="B2" s="15"/>
      <c r="C2" s="15"/>
      <c r="D2" s="15"/>
      <c r="E2" s="15"/>
      <c r="F2" s="15"/>
      <c r="G2" s="15"/>
      <c r="H2" s="15"/>
    </row>
    <row r="4" spans="1:8" ht="42" customHeight="1" x14ac:dyDescent="0.45">
      <c r="A4" s="1" t="s">
        <v>2</v>
      </c>
      <c r="B4" s="2" t="s">
        <v>3</v>
      </c>
    </row>
    <row r="5" spans="1:8" ht="42" customHeight="1" x14ac:dyDescent="0.45">
      <c r="A5" s="1" t="s">
        <v>4</v>
      </c>
      <c r="B5" s="2" t="s">
        <v>5</v>
      </c>
    </row>
    <row r="6" spans="1:8" ht="42" customHeight="1" x14ac:dyDescent="0.45">
      <c r="A6" s="1" t="s">
        <v>6</v>
      </c>
      <c r="B6" s="2" t="s">
        <v>7</v>
      </c>
    </row>
    <row r="7" spans="1:8" ht="42" customHeight="1" x14ac:dyDescent="0.45">
      <c r="A7" s="1" t="s">
        <v>8</v>
      </c>
      <c r="B7" s="2" t="s">
        <v>9</v>
      </c>
    </row>
    <row r="8" spans="1:8" ht="42" customHeight="1" x14ac:dyDescent="0.45">
      <c r="A8" s="1" t="s">
        <v>10</v>
      </c>
      <c r="B8" s="2" t="s">
        <v>11</v>
      </c>
    </row>
    <row r="9" spans="1:8" ht="42" customHeight="1" x14ac:dyDescent="0.45">
      <c r="A9" s="1" t="s">
        <v>12</v>
      </c>
      <c r="B9" s="2" t="s">
        <v>13</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heetViews>
  <sheetFormatPr defaultRowHeight="14.25" x14ac:dyDescent="0.45"/>
  <cols>
    <col min="1" max="1" width="18" customWidth="1"/>
    <col min="2" max="2" width="24" customWidth="1"/>
    <col min="3" max="3" width="28" customWidth="1"/>
  </cols>
  <sheetData>
    <row r="1" spans="1:6" ht="24" customHeight="1" x14ac:dyDescent="0.45">
      <c r="A1" s="14" t="s">
        <v>14</v>
      </c>
      <c r="B1" s="15"/>
      <c r="C1" s="15"/>
      <c r="D1" s="15"/>
      <c r="E1" s="15"/>
      <c r="F1" s="15"/>
    </row>
    <row r="2" spans="1:6" ht="26" customHeight="1" x14ac:dyDescent="0.45">
      <c r="A2" s="19" t="s">
        <v>15</v>
      </c>
      <c r="B2" s="15"/>
      <c r="C2" s="15"/>
      <c r="D2" s="15"/>
      <c r="E2" s="15"/>
      <c r="F2" s="15"/>
    </row>
    <row r="4" spans="1:6" x14ac:dyDescent="0.45">
      <c r="A4" s="3" t="s">
        <v>16</v>
      </c>
      <c r="B4" s="3" t="s">
        <v>17</v>
      </c>
      <c r="C4" s="3"/>
    </row>
    <row r="5" spans="1:6" x14ac:dyDescent="0.45">
      <c r="A5" s="4">
        <v>1</v>
      </c>
      <c r="B5" s="4" t="s">
        <v>18</v>
      </c>
      <c r="C5" s="4"/>
    </row>
    <row r="6" spans="1:6" x14ac:dyDescent="0.45">
      <c r="A6" s="4">
        <v>2</v>
      </c>
      <c r="B6" s="4" t="s">
        <v>19</v>
      </c>
      <c r="C6" s="4"/>
    </row>
    <row r="7" spans="1:6" x14ac:dyDescent="0.45">
      <c r="A7" s="4">
        <v>3</v>
      </c>
      <c r="B7" s="4" t="s">
        <v>20</v>
      </c>
      <c r="C7" s="4"/>
    </row>
    <row r="8" spans="1:6" x14ac:dyDescent="0.45">
      <c r="A8" s="4">
        <v>4</v>
      </c>
      <c r="B8" s="4" t="s">
        <v>21</v>
      </c>
      <c r="C8" s="4"/>
    </row>
    <row r="9" spans="1:6" x14ac:dyDescent="0.45">
      <c r="A9" s="4">
        <v>5</v>
      </c>
      <c r="B9" s="4" t="s">
        <v>22</v>
      </c>
      <c r="C9" s="4"/>
    </row>
    <row r="10" spans="1:6" x14ac:dyDescent="0.45">
      <c r="A10" s="4"/>
      <c r="B10" s="4"/>
      <c r="C10" s="4"/>
    </row>
    <row r="11" spans="1:6" x14ac:dyDescent="0.45">
      <c r="A11" s="3" t="s">
        <v>23</v>
      </c>
      <c r="B11" s="3" t="s">
        <v>24</v>
      </c>
      <c r="C11" s="3" t="s">
        <v>25</v>
      </c>
    </row>
    <row r="12" spans="1:6" x14ac:dyDescent="0.45">
      <c r="A12" s="4" t="s">
        <v>26</v>
      </c>
      <c r="B12" s="4">
        <v>2.5</v>
      </c>
      <c r="C12" s="4" t="s">
        <v>27</v>
      </c>
    </row>
    <row r="13" spans="1:6" x14ac:dyDescent="0.45">
      <c r="A13" s="4" t="s">
        <v>28</v>
      </c>
      <c r="B13" s="4">
        <v>3.8</v>
      </c>
      <c r="C13" s="4" t="s">
        <v>29</v>
      </c>
    </row>
    <row r="14" spans="1:6" x14ac:dyDescent="0.45">
      <c r="A14" s="4" t="s">
        <v>30</v>
      </c>
      <c r="B14" s="4">
        <v>3.8</v>
      </c>
      <c r="C14" s="4" t="s">
        <v>21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
  <sheetViews>
    <sheetView showGridLines="0" workbookViewId="0">
      <pane ySplit="14" topLeftCell="A17" activePane="bottomLeft" state="frozen"/>
      <selection pane="bottomLeft" activeCell="A14" sqref="A14:G32"/>
    </sheetView>
  </sheetViews>
  <sheetFormatPr defaultRowHeight="14.25" x14ac:dyDescent="0.45"/>
  <cols>
    <col min="1" max="1" width="13" customWidth="1"/>
    <col min="2" max="2" width="10" customWidth="1"/>
    <col min="3" max="3" width="24" customWidth="1"/>
    <col min="4" max="4" width="60" customWidth="1"/>
    <col min="5" max="5" width="10" customWidth="1"/>
    <col min="6" max="6" width="14" customWidth="1"/>
    <col min="7" max="7" width="36" customWidth="1"/>
    <col min="8" max="8" width="16" customWidth="1"/>
    <col min="9" max="9" width="12" customWidth="1"/>
    <col min="10" max="10" width="30" customWidth="1"/>
    <col min="11" max="14" width="14" customWidth="1"/>
  </cols>
  <sheetData>
    <row r="1" spans="1:12" ht="24" customHeight="1" x14ac:dyDescent="0.45">
      <c r="A1" s="14" t="s">
        <v>31</v>
      </c>
      <c r="B1" s="15"/>
      <c r="C1" s="15"/>
      <c r="D1" s="15"/>
      <c r="E1" s="15"/>
      <c r="F1" s="15"/>
      <c r="G1" s="15"/>
      <c r="H1" s="15"/>
      <c r="I1" s="15"/>
      <c r="J1" s="15"/>
      <c r="K1" s="15"/>
      <c r="L1" s="15"/>
    </row>
    <row r="2" spans="1:12" ht="26" customHeight="1" x14ac:dyDescent="0.45">
      <c r="A2" s="19" t="s">
        <v>32</v>
      </c>
      <c r="B2" s="15"/>
      <c r="C2" s="15"/>
      <c r="D2" s="15"/>
      <c r="E2" s="15"/>
      <c r="F2" s="15"/>
      <c r="G2" s="15"/>
      <c r="H2" s="15"/>
      <c r="I2" s="15"/>
      <c r="J2" s="15"/>
      <c r="K2" s="15"/>
      <c r="L2" s="15"/>
    </row>
    <row r="4" spans="1:12" x14ac:dyDescent="0.45">
      <c r="A4" s="1" t="s">
        <v>33</v>
      </c>
      <c r="B4" s="5" t="s">
        <v>416</v>
      </c>
      <c r="J4" s="16" t="s">
        <v>34</v>
      </c>
      <c r="K4" s="15"/>
      <c r="L4" s="15"/>
    </row>
    <row r="5" spans="1:12" x14ac:dyDescent="0.45">
      <c r="A5" s="1" t="s">
        <v>35</v>
      </c>
      <c r="B5" s="5" t="s">
        <v>417</v>
      </c>
      <c r="J5" s="1" t="s">
        <v>36</v>
      </c>
      <c r="K5" s="20">
        <f>IF(COUNT(E15:E32)=0,"",ROUND(AVERAGE(E15:E32),2))</f>
        <v>3.67</v>
      </c>
      <c r="L5" s="18"/>
    </row>
    <row r="6" spans="1:12" x14ac:dyDescent="0.45">
      <c r="A6" s="1" t="s">
        <v>37</v>
      </c>
      <c r="B6" s="5" t="s">
        <v>418</v>
      </c>
      <c r="J6" s="1" t="s">
        <v>38</v>
      </c>
      <c r="K6" s="20" t="str">
        <f>IF(K5="","",IF(K5&lt;2.5,"Red",IF(K5&lt;3.8,"Amber","Green")))</f>
        <v>Amber</v>
      </c>
      <c r="L6" s="18"/>
    </row>
    <row r="7" spans="1:12" x14ac:dyDescent="0.45">
      <c r="A7" s="1" t="s">
        <v>39</v>
      </c>
      <c r="B7" s="5" t="s">
        <v>419</v>
      </c>
      <c r="J7" s="7" t="s">
        <v>40</v>
      </c>
      <c r="K7" s="7" t="s">
        <v>16</v>
      </c>
      <c r="L7" s="7" t="s">
        <v>41</v>
      </c>
    </row>
    <row r="8" spans="1:12" x14ac:dyDescent="0.45">
      <c r="A8" s="1" t="s">
        <v>42</v>
      </c>
      <c r="B8" s="5" t="s">
        <v>420</v>
      </c>
      <c r="J8" s="1" t="s">
        <v>43</v>
      </c>
      <c r="K8" s="6">
        <f>IF(COUNTIFS($B$15:$B$32,"P1",$E$15:$E$32,"&gt;0")=0,"",ROUND(SUMIF($B$15:$B$32,"P1",$E$15:$E$32)/COUNTIFS($B$15:$B$32,"P1",$E$15:$E$32,"&gt;0"),2))</f>
        <v>3</v>
      </c>
      <c r="L8" s="6" t="str">
        <f t="shared" ref="L8:L16" si="0">IF(K8="","",IF(K8&lt;2.5,"Red",IF(K8&lt;3.8,"Amber","Green")))</f>
        <v>Amber</v>
      </c>
    </row>
    <row r="9" spans="1:12" x14ac:dyDescent="0.45">
      <c r="A9" s="1" t="s">
        <v>44</v>
      </c>
      <c r="B9" s="5" t="s">
        <v>421</v>
      </c>
      <c r="J9" s="1" t="s">
        <v>45</v>
      </c>
      <c r="K9" s="6">
        <f>IF(COUNTIFS($B$15:$B$32,"P2",$E$15:$E$32,"&gt;0")=0,"",ROUND(SUMIF($B$15:$B$32,"P2",$E$15:$E$32)/COUNTIFS($B$15:$B$32,"P2",$E$15:$E$32,"&gt;0"),2))</f>
        <v>4</v>
      </c>
      <c r="L9" s="6" t="str">
        <f t="shared" si="0"/>
        <v>Green</v>
      </c>
    </row>
    <row r="10" spans="1:12" x14ac:dyDescent="0.45">
      <c r="A10" s="1" t="s">
        <v>46</v>
      </c>
      <c r="B10" s="5"/>
      <c r="J10" s="1" t="s">
        <v>47</v>
      </c>
      <c r="K10" s="6">
        <f>IF(COUNTIFS($B$15:$B$32,"P3",$E$15:$E$32,"&gt;0")=0,"",ROUND(SUMIF($B$15:$B$32,"P3",$E$15:$E$32)/COUNTIFS($B$15:$B$32,"P3",$E$15:$E$32,"&gt;0"),2))</f>
        <v>3</v>
      </c>
      <c r="L10" s="6" t="str">
        <f t="shared" si="0"/>
        <v>Amber</v>
      </c>
    </row>
    <row r="11" spans="1:12" x14ac:dyDescent="0.45">
      <c r="A11" s="1" t="s">
        <v>48</v>
      </c>
      <c r="B11" s="21" t="s">
        <v>49</v>
      </c>
      <c r="C11" s="22"/>
      <c r="D11" s="22"/>
      <c r="E11" s="18"/>
      <c r="J11" s="1" t="s">
        <v>50</v>
      </c>
      <c r="K11" s="6">
        <f>IF(COUNTIFS($B$15:$B$32,"P4",$E$15:$E$32,"&gt;0")=0,"",ROUND(SUMIF($B$15:$B$32,"P4",$E$15:$E$32)/COUNTIFS($B$15:$B$32,"P4",$E$15:$E$32,"&gt;0"),2))</f>
        <v>3</v>
      </c>
      <c r="L11" s="6" t="str">
        <f t="shared" si="0"/>
        <v>Amber</v>
      </c>
    </row>
    <row r="12" spans="1:12" x14ac:dyDescent="0.45">
      <c r="J12" s="1" t="s">
        <v>51</v>
      </c>
      <c r="K12" s="6">
        <f>IF(COUNTIFS($B$15:$B$32,"P5",$E$15:$E$32,"&gt;0")=0,"",ROUND(SUMIF($B$15:$B$32,"P5",$E$15:$E$32)/COUNTIFS($B$15:$B$32,"P5",$E$15:$E$32,"&gt;0"),2))</f>
        <v>4</v>
      </c>
      <c r="L12" s="6" t="str">
        <f t="shared" si="0"/>
        <v>Green</v>
      </c>
    </row>
    <row r="13" spans="1:12" x14ac:dyDescent="0.45">
      <c r="J13" s="1" t="s">
        <v>52</v>
      </c>
      <c r="K13" s="6">
        <f>IF(COUNTIFS($B$15:$B$32,"P6",$E$15:$E$32,"&gt;0")=0,"",ROUND(SUMIF($B$15:$B$32,"P6",$E$15:$E$32)/COUNTIFS($B$15:$B$32,"P6",$E$15:$E$32,"&gt;0"),2))</f>
        <v>4</v>
      </c>
      <c r="L13" s="6" t="str">
        <f t="shared" si="0"/>
        <v>Green</v>
      </c>
    </row>
    <row r="14" spans="1:12" x14ac:dyDescent="0.45">
      <c r="A14" s="7" t="s">
        <v>53</v>
      </c>
      <c r="B14" s="7" t="s">
        <v>54</v>
      </c>
      <c r="C14" s="7" t="s">
        <v>55</v>
      </c>
      <c r="D14" s="7" t="s">
        <v>56</v>
      </c>
      <c r="E14" s="7" t="s">
        <v>16</v>
      </c>
      <c r="F14" s="7" t="s">
        <v>57</v>
      </c>
      <c r="G14" s="7" t="s">
        <v>58</v>
      </c>
      <c r="J14" s="1" t="s">
        <v>59</v>
      </c>
      <c r="K14" s="6">
        <f>IF(COUNTIFS($B$15:$B$32,"P7",$E$15:$E$32,"&gt;0")=0,"",ROUND(SUMIF($B$15:$B$32,"P7",$E$15:$E$32)/COUNTIFS($B$15:$B$32,"P7",$E$15:$E$32,"&gt;0"),2))</f>
        <v>4</v>
      </c>
      <c r="L14" s="6" t="str">
        <f t="shared" si="0"/>
        <v>Green</v>
      </c>
    </row>
    <row r="15" spans="1:12" ht="30" customHeight="1" x14ac:dyDescent="0.45">
      <c r="A15" s="4" t="s">
        <v>60</v>
      </c>
      <c r="B15" s="4" t="s">
        <v>61</v>
      </c>
      <c r="C15" s="9" t="s">
        <v>43</v>
      </c>
      <c r="D15" s="10" t="s">
        <v>62</v>
      </c>
      <c r="E15" s="11">
        <v>3</v>
      </c>
      <c r="F15" s="12" t="str">
        <f t="shared" ref="F15:F32" si="1">IF(E15="","",IF(E15=1,"Critical",IF(E15=2,"Weak",IF(E15=3,"At Risk",IF(E15=4,"Controlled","Strong")))))</f>
        <v>At Risk</v>
      </c>
      <c r="G15" s="13"/>
      <c r="J15" s="1" t="s">
        <v>63</v>
      </c>
      <c r="K15" s="6">
        <f>IF(COUNTIFS($B$15:$B$32,"P8",$E$15:$E$32,"&gt;0")=0,"",ROUND(SUMIF($B$15:$B$32,"P8",$E$15:$E$32)/COUNTIFS($B$15:$B$32,"P8",$E$15:$E$32,"&gt;0"),2))</f>
        <v>4</v>
      </c>
      <c r="L15" s="6" t="str">
        <f t="shared" si="0"/>
        <v>Green</v>
      </c>
    </row>
    <row r="16" spans="1:12" ht="30" customHeight="1" x14ac:dyDescent="0.45">
      <c r="A16" s="4" t="s">
        <v>64</v>
      </c>
      <c r="B16" s="4" t="s">
        <v>61</v>
      </c>
      <c r="C16" s="9" t="s">
        <v>43</v>
      </c>
      <c r="D16" s="10" t="s">
        <v>65</v>
      </c>
      <c r="E16" s="11">
        <v>3</v>
      </c>
      <c r="F16" s="12" t="str">
        <f t="shared" si="1"/>
        <v>At Risk</v>
      </c>
      <c r="G16" s="13"/>
      <c r="J16" s="1" t="s">
        <v>66</v>
      </c>
      <c r="K16" s="6">
        <f>IF(COUNTIFS($B$15:$B$32,"P9",$E$15:$E$32,"&gt;0")=0,"",ROUND(SUMIF($B$15:$B$32,"P9",$E$15:$E$32)/COUNTIFS($B$15:$B$32,"P9",$E$15:$E$32,"&gt;0"),2))</f>
        <v>4</v>
      </c>
      <c r="L16" s="6" t="str">
        <f t="shared" si="0"/>
        <v>Green</v>
      </c>
    </row>
    <row r="17" spans="1:12" ht="30" customHeight="1" x14ac:dyDescent="0.45">
      <c r="A17" s="4" t="s">
        <v>67</v>
      </c>
      <c r="B17" s="4" t="s">
        <v>68</v>
      </c>
      <c r="C17" s="9" t="s">
        <v>45</v>
      </c>
      <c r="D17" s="10" t="s">
        <v>69</v>
      </c>
      <c r="E17" s="11">
        <v>4</v>
      </c>
      <c r="F17" s="12" t="str">
        <f t="shared" si="1"/>
        <v>Controlled</v>
      </c>
      <c r="G17" s="13"/>
    </row>
    <row r="18" spans="1:12" ht="30" customHeight="1" x14ac:dyDescent="0.45">
      <c r="A18" s="4" t="s">
        <v>70</v>
      </c>
      <c r="B18" s="4" t="s">
        <v>68</v>
      </c>
      <c r="C18" s="9" t="s">
        <v>45</v>
      </c>
      <c r="D18" s="10" t="s">
        <v>71</v>
      </c>
      <c r="E18" s="11">
        <v>4</v>
      </c>
      <c r="F18" s="12" t="str">
        <f t="shared" si="1"/>
        <v>Controlled</v>
      </c>
      <c r="G18" s="13"/>
      <c r="J18" s="16" t="s">
        <v>72</v>
      </c>
      <c r="K18" s="15"/>
      <c r="L18" s="15"/>
    </row>
    <row r="19" spans="1:12" ht="30" customHeight="1" x14ac:dyDescent="0.45">
      <c r="A19" s="4" t="s">
        <v>73</v>
      </c>
      <c r="B19" s="4" t="s">
        <v>74</v>
      </c>
      <c r="C19" s="9" t="s">
        <v>47</v>
      </c>
      <c r="D19" s="10" t="s">
        <v>75</v>
      </c>
      <c r="E19" s="11">
        <v>3</v>
      </c>
      <c r="F19" s="12" t="str">
        <f t="shared" si="1"/>
        <v>At Risk</v>
      </c>
      <c r="G19" s="13"/>
      <c r="J19" s="1" t="s">
        <v>76</v>
      </c>
      <c r="K19" s="23" t="str">
        <f>IF(K5="","",IF(OR(K5&lt;3,K8&lt;3,K14&lt;3,IFERROR(SEARCH("delay",$B$10),0)&gt;0,IFERROR(SEARCH("risk",$B$10),0)&gt;0,IFERROR(SEARCH("issue",$B$10),0)&gt;0,IFERROR(SEARCH("problem",$B$10),0)&gt;0,IFERROR(SEARCH("go-live",$B$10),0)&gt;0,IFERROR(SEARCH("data",$B$10),0)&gt;0,IFERROR(SEARCH("vendor",$B$10),0)&gt;0),"High",IF(K5&lt;3.8,"Medium","Low")))</f>
        <v>Medium</v>
      </c>
      <c r="L19" s="18"/>
    </row>
    <row r="20" spans="1:12" ht="30" customHeight="1" x14ac:dyDescent="0.45">
      <c r="A20" s="4" t="s">
        <v>77</v>
      </c>
      <c r="B20" s="4" t="s">
        <v>74</v>
      </c>
      <c r="C20" s="9" t="s">
        <v>47</v>
      </c>
      <c r="D20" s="10" t="s">
        <v>78</v>
      </c>
      <c r="E20" s="11">
        <v>3</v>
      </c>
      <c r="F20" s="12" t="str">
        <f t="shared" si="1"/>
        <v>At Risk</v>
      </c>
      <c r="G20" s="13"/>
    </row>
    <row r="21" spans="1:12" ht="30" customHeight="1" x14ac:dyDescent="0.45">
      <c r="A21" s="4" t="s">
        <v>79</v>
      </c>
      <c r="B21" s="4" t="s">
        <v>80</v>
      </c>
      <c r="C21" s="9" t="s">
        <v>50</v>
      </c>
      <c r="D21" s="10" t="s">
        <v>81</v>
      </c>
      <c r="E21" s="11">
        <v>4</v>
      </c>
      <c r="F21" s="12" t="str">
        <f t="shared" si="1"/>
        <v>Controlled</v>
      </c>
      <c r="G21" s="13"/>
    </row>
    <row r="22" spans="1:12" ht="30" customHeight="1" x14ac:dyDescent="0.45">
      <c r="A22" s="4" t="s">
        <v>82</v>
      </c>
      <c r="B22" s="4" t="s">
        <v>80</v>
      </c>
      <c r="C22" s="9" t="s">
        <v>50</v>
      </c>
      <c r="D22" s="10" t="s">
        <v>83</v>
      </c>
      <c r="E22" s="11">
        <v>2</v>
      </c>
      <c r="F22" s="12" t="str">
        <f t="shared" si="1"/>
        <v>Weak</v>
      </c>
      <c r="G22" s="13"/>
    </row>
    <row r="23" spans="1:12" ht="30" customHeight="1" x14ac:dyDescent="0.45">
      <c r="A23" s="4" t="s">
        <v>84</v>
      </c>
      <c r="B23" s="4" t="s">
        <v>85</v>
      </c>
      <c r="C23" s="9" t="s">
        <v>51</v>
      </c>
      <c r="D23" s="10" t="s">
        <v>86</v>
      </c>
      <c r="E23" s="11">
        <v>4</v>
      </c>
      <c r="F23" s="12" t="str">
        <f t="shared" si="1"/>
        <v>Controlled</v>
      </c>
      <c r="G23" s="13"/>
    </row>
    <row r="24" spans="1:12" ht="30" customHeight="1" x14ac:dyDescent="0.45">
      <c r="A24" s="4" t="s">
        <v>87</v>
      </c>
      <c r="B24" s="4" t="s">
        <v>85</v>
      </c>
      <c r="C24" s="9" t="s">
        <v>51</v>
      </c>
      <c r="D24" s="10" t="s">
        <v>88</v>
      </c>
      <c r="E24" s="11">
        <v>4</v>
      </c>
      <c r="F24" s="12" t="str">
        <f t="shared" si="1"/>
        <v>Controlled</v>
      </c>
      <c r="G24" s="13"/>
    </row>
    <row r="25" spans="1:12" ht="30" customHeight="1" x14ac:dyDescent="0.45">
      <c r="A25" s="4" t="s">
        <v>89</v>
      </c>
      <c r="B25" s="4" t="s">
        <v>90</v>
      </c>
      <c r="C25" s="9" t="s">
        <v>52</v>
      </c>
      <c r="D25" s="10" t="s">
        <v>91</v>
      </c>
      <c r="E25" s="11">
        <v>4</v>
      </c>
      <c r="F25" s="12" t="str">
        <f t="shared" si="1"/>
        <v>Controlled</v>
      </c>
      <c r="G25" s="13"/>
    </row>
    <row r="26" spans="1:12" ht="30" customHeight="1" x14ac:dyDescent="0.45">
      <c r="A26" s="4" t="s">
        <v>92</v>
      </c>
      <c r="B26" s="4" t="s">
        <v>90</v>
      </c>
      <c r="C26" s="9" t="s">
        <v>52</v>
      </c>
      <c r="D26" s="10" t="s">
        <v>93</v>
      </c>
      <c r="E26" s="11">
        <v>4</v>
      </c>
      <c r="F26" s="12" t="str">
        <f t="shared" si="1"/>
        <v>Controlled</v>
      </c>
      <c r="G26" s="13"/>
    </row>
    <row r="27" spans="1:12" ht="30" customHeight="1" x14ac:dyDescent="0.45">
      <c r="A27" s="4" t="s">
        <v>94</v>
      </c>
      <c r="B27" s="4" t="s">
        <v>95</v>
      </c>
      <c r="C27" s="9" t="s">
        <v>59</v>
      </c>
      <c r="D27" s="10" t="s">
        <v>96</v>
      </c>
      <c r="E27" s="11">
        <v>4</v>
      </c>
      <c r="F27" s="12" t="str">
        <f t="shared" si="1"/>
        <v>Controlled</v>
      </c>
      <c r="G27" s="13"/>
    </row>
    <row r="28" spans="1:12" ht="30" customHeight="1" x14ac:dyDescent="0.45">
      <c r="A28" s="4" t="s">
        <v>97</v>
      </c>
      <c r="B28" s="4" t="s">
        <v>95</v>
      </c>
      <c r="C28" s="9" t="s">
        <v>59</v>
      </c>
      <c r="D28" s="10" t="s">
        <v>98</v>
      </c>
      <c r="E28" s="11">
        <v>4</v>
      </c>
      <c r="F28" s="12" t="str">
        <f t="shared" si="1"/>
        <v>Controlled</v>
      </c>
      <c r="G28" s="13"/>
    </row>
    <row r="29" spans="1:12" ht="30" customHeight="1" x14ac:dyDescent="0.45">
      <c r="A29" s="4" t="s">
        <v>99</v>
      </c>
      <c r="B29" s="4" t="s">
        <v>100</v>
      </c>
      <c r="C29" s="9" t="s">
        <v>63</v>
      </c>
      <c r="D29" s="10" t="s">
        <v>101</v>
      </c>
      <c r="E29" s="11">
        <v>4</v>
      </c>
      <c r="F29" s="12" t="str">
        <f t="shared" si="1"/>
        <v>Controlled</v>
      </c>
      <c r="G29" s="13"/>
    </row>
    <row r="30" spans="1:12" ht="30" customHeight="1" x14ac:dyDescent="0.45">
      <c r="A30" s="4" t="s">
        <v>102</v>
      </c>
      <c r="B30" s="4" t="s">
        <v>100</v>
      </c>
      <c r="C30" s="9" t="s">
        <v>63</v>
      </c>
      <c r="D30" s="10" t="s">
        <v>103</v>
      </c>
      <c r="E30" s="11">
        <v>4</v>
      </c>
      <c r="F30" s="12" t="str">
        <f t="shared" si="1"/>
        <v>Controlled</v>
      </c>
      <c r="G30" s="13"/>
    </row>
    <row r="31" spans="1:12" ht="30" customHeight="1" x14ac:dyDescent="0.45">
      <c r="A31" s="4" t="s">
        <v>104</v>
      </c>
      <c r="B31" s="4" t="s">
        <v>105</v>
      </c>
      <c r="C31" s="9" t="s">
        <v>66</v>
      </c>
      <c r="D31" s="10" t="s">
        <v>106</v>
      </c>
      <c r="E31" s="11">
        <v>4</v>
      </c>
      <c r="F31" s="12" t="str">
        <f t="shared" si="1"/>
        <v>Controlled</v>
      </c>
      <c r="G31" s="13"/>
    </row>
    <row r="32" spans="1:12" ht="30" customHeight="1" x14ac:dyDescent="0.45">
      <c r="A32" s="4" t="s">
        <v>107</v>
      </c>
      <c r="B32" s="4" t="s">
        <v>105</v>
      </c>
      <c r="C32" s="9" t="s">
        <v>66</v>
      </c>
      <c r="D32" s="10" t="s">
        <v>108</v>
      </c>
      <c r="E32" s="11">
        <v>4</v>
      </c>
      <c r="F32" s="12" t="str">
        <f t="shared" si="1"/>
        <v>Controlled</v>
      </c>
      <c r="G32" s="13"/>
    </row>
  </sheetData>
  <autoFilter ref="A14:G32" xr:uid="{00000000-0009-0000-0000-000002000000}"/>
  <mergeCells count="8">
    <mergeCell ref="A1:L1"/>
    <mergeCell ref="K5:L5"/>
    <mergeCell ref="B11:E11"/>
    <mergeCell ref="K19:L19"/>
    <mergeCell ref="J4:L4"/>
    <mergeCell ref="K6:L6"/>
    <mergeCell ref="A2:L2"/>
    <mergeCell ref="J18:L18"/>
  </mergeCells>
  <conditionalFormatting sqref="E15:E32">
    <cfRule type="cellIs" dxfId="95" priority="1" operator="equal">
      <formula>1</formula>
    </cfRule>
    <cfRule type="cellIs" dxfId="94" priority="2" operator="equal">
      <formula>2</formula>
    </cfRule>
    <cfRule type="cellIs" dxfId="93" priority="3" operator="equal">
      <formula>3</formula>
    </cfRule>
    <cfRule type="cellIs" dxfId="92" priority="4" operator="equal">
      <formula>4</formula>
    </cfRule>
    <cfRule type="cellIs" dxfId="91" priority="5" operator="equal">
      <formula>5</formula>
    </cfRule>
  </conditionalFormatting>
  <conditionalFormatting sqref="K6">
    <cfRule type="cellIs" dxfId="90" priority="6" operator="equal">
      <formula>"Red"</formula>
    </cfRule>
    <cfRule type="cellIs" dxfId="89" priority="7" operator="equal">
      <formula>"Amber"</formula>
    </cfRule>
    <cfRule type="cellIs" dxfId="88" priority="8" operator="equal">
      <formula>"Green"</formula>
    </cfRule>
  </conditionalFormatting>
  <conditionalFormatting sqref="K8:K16">
    <cfRule type="cellIs" dxfId="87" priority="9" operator="equal">
      <formula>1</formula>
    </cfRule>
    <cfRule type="cellIs" dxfId="86" priority="10" operator="equal">
      <formula>2</formula>
    </cfRule>
    <cfRule type="cellIs" dxfId="85" priority="11" operator="equal">
      <formula>3</formula>
    </cfRule>
    <cfRule type="cellIs" dxfId="84" priority="12" operator="equal">
      <formula>4</formula>
    </cfRule>
    <cfRule type="cellIs" dxfId="83" priority="13" operator="equal">
      <formula>5</formula>
    </cfRule>
  </conditionalFormatting>
  <conditionalFormatting sqref="L8:L16">
    <cfRule type="cellIs" dxfId="82" priority="14" operator="equal">
      <formula>"Red"</formula>
    </cfRule>
    <cfRule type="cellIs" dxfId="81" priority="15" operator="equal">
      <formula>"Amber"</formula>
    </cfRule>
    <cfRule type="cellIs" dxfId="80" priority="16" operator="equal">
      <formula>"Green"</formula>
    </cfRule>
  </conditionalFormatting>
  <dataValidations count="3">
    <dataValidation type="list" allowBlank="1" prompt="1=Critical, 2=Weak, 3=At Risk, 4=Controlled, 5=Strong" sqref="E15:E32" xr:uid="{00000000-0002-0000-0200-000000000000}">
      <formula1>"1,2,3,4,5"</formula1>
    </dataValidation>
    <dataValidation type="list" allowBlank="1" sqref="B8" xr:uid="{00000000-0002-0000-0200-000001000000}">
      <formula1>"ERP,CRM,Finance Transformation,Digital Transformation,Data Programme,Service Transformation,Other"</formula1>
    </dataValidation>
    <dataValidation type="list" allowBlank="1" sqref="B9" xr:uid="{00000000-0002-0000-0200-000002000000}">
      <formula1>"Discovery,Design,Build,Testing,Cutover Preparation,Go-Live,Hypercare,BAU Transition,Recovery"</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1"/>
  <sheetViews>
    <sheetView showGridLines="0" workbookViewId="0">
      <pane ySplit="16" topLeftCell="A100" activePane="bottomLeft" state="frozen"/>
      <selection pane="bottomLeft" activeCell="H70" sqref="H70"/>
    </sheetView>
  </sheetViews>
  <sheetFormatPr defaultRowHeight="14.25" x14ac:dyDescent="0.45"/>
  <cols>
    <col min="1" max="1" width="13" customWidth="1"/>
    <col min="2" max="2" width="10" customWidth="1"/>
    <col min="3" max="3" width="28" customWidth="1"/>
    <col min="4" max="4" width="58" customWidth="1"/>
    <col min="5" max="5" width="10" customWidth="1"/>
    <col min="6" max="6" width="14" customWidth="1"/>
    <col min="7" max="7" width="30" customWidth="1"/>
    <col min="8" max="8" width="16" customWidth="1"/>
    <col min="9" max="9" width="12" customWidth="1"/>
    <col min="10" max="10" width="30" customWidth="1"/>
    <col min="11" max="14" width="14" customWidth="1"/>
  </cols>
  <sheetData>
    <row r="1" spans="1:14" ht="24" customHeight="1" x14ac:dyDescent="0.45">
      <c r="A1" s="14" t="s">
        <v>109</v>
      </c>
      <c r="B1" s="15"/>
      <c r="C1" s="15"/>
      <c r="D1" s="15"/>
      <c r="E1" s="15"/>
      <c r="F1" s="15"/>
      <c r="G1" s="15"/>
      <c r="H1" s="15"/>
      <c r="I1" s="15"/>
      <c r="J1" s="15"/>
      <c r="K1" s="15"/>
      <c r="L1" s="15"/>
      <c r="M1" s="15"/>
      <c r="N1" s="15"/>
    </row>
    <row r="2" spans="1:14" ht="26" customHeight="1" x14ac:dyDescent="0.45">
      <c r="A2" s="19" t="s">
        <v>110</v>
      </c>
      <c r="B2" s="15"/>
      <c r="C2" s="15"/>
      <c r="D2" s="15"/>
      <c r="E2" s="15"/>
      <c r="F2" s="15"/>
      <c r="G2" s="15"/>
      <c r="H2" s="15"/>
      <c r="I2" s="15"/>
      <c r="J2" s="15"/>
      <c r="K2" s="15"/>
      <c r="L2" s="15"/>
      <c r="M2" s="15"/>
      <c r="N2" s="15"/>
    </row>
    <row r="4" spans="1:14" x14ac:dyDescent="0.45">
      <c r="A4" s="1" t="s">
        <v>111</v>
      </c>
      <c r="B4" s="5"/>
      <c r="K4" s="16" t="s">
        <v>34</v>
      </c>
      <c r="L4" s="15"/>
      <c r="M4" s="15"/>
    </row>
    <row r="5" spans="1:14" x14ac:dyDescent="0.45">
      <c r="A5" s="1" t="s">
        <v>112</v>
      </c>
      <c r="B5" s="5"/>
      <c r="K5" s="1" t="s">
        <v>36</v>
      </c>
      <c r="L5" s="20">
        <f>IF(COUNT(E17:E91)=0,"",ROUND(AVERAGE(E17:E91),2))</f>
        <v>2.96</v>
      </c>
      <c r="M5" s="18"/>
    </row>
    <row r="6" spans="1:14" x14ac:dyDescent="0.45">
      <c r="A6" s="1" t="s">
        <v>113</v>
      </c>
      <c r="B6" s="5"/>
      <c r="K6" s="1" t="s">
        <v>38</v>
      </c>
      <c r="L6" s="20" t="str">
        <f>IF(L5="","",IF(L5&lt;2.5,"Red",IF(L5&lt;3.8,"Amber","Green")))</f>
        <v>Amber</v>
      </c>
      <c r="M6" s="18"/>
    </row>
    <row r="7" spans="1:14" x14ac:dyDescent="0.45">
      <c r="A7" s="1" t="s">
        <v>42</v>
      </c>
      <c r="B7" s="5"/>
      <c r="K7" s="7" t="s">
        <v>40</v>
      </c>
      <c r="L7" s="7" t="s">
        <v>16</v>
      </c>
      <c r="M7" s="7" t="s">
        <v>41</v>
      </c>
    </row>
    <row r="8" spans="1:14" x14ac:dyDescent="0.45">
      <c r="A8" s="1" t="s">
        <v>44</v>
      </c>
      <c r="B8" s="5"/>
      <c r="K8" s="1" t="s">
        <v>114</v>
      </c>
      <c r="L8" s="6">
        <f>IF(COUNTIFS($B$17:$B$91,"P1",$E$17:$E$91,"&gt;0")=0,"",ROUND(SUMIF($B$17:$B$91,"P1",$E$17:$E$91)/COUNTIFS($B$17:$B$91,"P1",$E$17:$E$91,"&gt;0"),2))</f>
        <v>3</v>
      </c>
      <c r="M8" s="6" t="str">
        <f t="shared" ref="M8:M16" si="0">IF(L8="","",IF(L8&lt;2.5,"Red",IF(L8&lt;3.8,"Amber","Green")))</f>
        <v>Amber</v>
      </c>
    </row>
    <row r="9" spans="1:14" x14ac:dyDescent="0.45">
      <c r="A9" s="1" t="s">
        <v>115</v>
      </c>
      <c r="B9" s="5"/>
      <c r="K9" s="1" t="s">
        <v>116</v>
      </c>
      <c r="L9" s="6">
        <f>IF(COUNTIFS($B$17:$B$91,"P2",$E$17:$E$91,"&gt;0")=0,"",ROUND(SUMIF($B$17:$B$91,"P2",$E$17:$E$91)/COUNTIFS($B$17:$B$91,"P2",$E$17:$E$91,"&gt;0"),2))</f>
        <v>3</v>
      </c>
      <c r="M9" s="6" t="str">
        <f t="shared" si="0"/>
        <v>Amber</v>
      </c>
    </row>
    <row r="10" spans="1:14" x14ac:dyDescent="0.45">
      <c r="A10" s="1" t="s">
        <v>117</v>
      </c>
      <c r="B10" s="5"/>
      <c r="K10" s="1" t="s">
        <v>118</v>
      </c>
      <c r="L10" s="6">
        <f>IF(COUNTIFS($B$17:$B$91,"P3",$E$17:$E$91,"&gt;0")=0,"",ROUND(SUMIF($B$17:$B$91,"P3",$E$17:$E$91)/COUNTIFS($B$17:$B$91,"P3",$E$17:$E$91,"&gt;0"),2))</f>
        <v>3</v>
      </c>
      <c r="M10" s="6" t="str">
        <f t="shared" si="0"/>
        <v>Amber</v>
      </c>
    </row>
    <row r="11" spans="1:14" x14ac:dyDescent="0.45">
      <c r="A11" s="1" t="s">
        <v>119</v>
      </c>
      <c r="B11" s="5"/>
      <c r="K11" s="1" t="s">
        <v>120</v>
      </c>
      <c r="L11" s="6">
        <f>IF(COUNTIFS($B$17:$B$91,"P4",$E$17:$E$91,"&gt;0")=0,"",ROUND(SUMIF($B$17:$B$91,"P4",$E$17:$E$91)/COUNTIFS($B$17:$B$91,"P4",$E$17:$E$91,"&gt;0"),2))</f>
        <v>3</v>
      </c>
      <c r="M11" s="6" t="str">
        <f t="shared" si="0"/>
        <v>Amber</v>
      </c>
    </row>
    <row r="12" spans="1:14" x14ac:dyDescent="0.45">
      <c r="A12" s="1" t="s">
        <v>121</v>
      </c>
      <c r="B12" s="5"/>
      <c r="K12" s="1" t="s">
        <v>122</v>
      </c>
      <c r="L12" s="6">
        <f>IF(COUNTIFS($B$17:$B$91,"P5",$E$17:$E$91,"&gt;0")=0,"",ROUND(SUMIF($B$17:$B$91,"P5",$E$17:$E$91)/COUNTIFS($B$17:$B$91,"P5",$E$17:$E$91,"&gt;0"),2))</f>
        <v>3</v>
      </c>
      <c r="M12" s="6" t="str">
        <f t="shared" si="0"/>
        <v>Amber</v>
      </c>
    </row>
    <row r="13" spans="1:14" x14ac:dyDescent="0.45">
      <c r="A13" s="1" t="s">
        <v>48</v>
      </c>
      <c r="B13" s="21" t="s">
        <v>49</v>
      </c>
      <c r="C13" s="22"/>
      <c r="D13" s="22"/>
      <c r="E13" s="18"/>
      <c r="K13" s="1" t="s">
        <v>52</v>
      </c>
      <c r="L13" s="6">
        <f>IF(COUNTIFS($B$17:$B$91,"P6",$E$17:$E$91,"&gt;0")=0,"",ROUND(SUMIF($B$17:$B$91,"P6",$E$17:$E$91)/COUNTIFS($B$17:$B$91,"P6",$E$17:$E$91,"&gt;0"),2))</f>
        <v>3</v>
      </c>
      <c r="M13" s="6" t="str">
        <f t="shared" si="0"/>
        <v>Amber</v>
      </c>
    </row>
    <row r="14" spans="1:14" x14ac:dyDescent="0.45">
      <c r="K14" s="1" t="s">
        <v>123</v>
      </c>
      <c r="L14" s="6">
        <f>IF(COUNTIFS($B$17:$B$91,"P7",$E$17:$E$91,"&gt;0")=0,"",ROUND(SUMIF($B$17:$B$91,"P7",$E$17:$E$91)/COUNTIFS($B$17:$B$91,"P7",$E$17:$E$91,"&gt;0"),2))</f>
        <v>3.2</v>
      </c>
      <c r="M14" s="6" t="str">
        <f t="shared" si="0"/>
        <v>Amber</v>
      </c>
    </row>
    <row r="15" spans="1:14" x14ac:dyDescent="0.45">
      <c r="K15" s="1" t="s">
        <v>124</v>
      </c>
      <c r="L15" s="6">
        <f>IF(COUNTIFS($B$17:$B$91,"P8",$E$17:$E$91,"&gt;0")=0,"",ROUND(SUMIF($B$17:$B$91,"P8",$E$17:$E$91)/COUNTIFS($B$17:$B$91,"P8",$E$17:$E$91,"&gt;0"),2))</f>
        <v>2.86</v>
      </c>
      <c r="M15" s="6" t="str">
        <f t="shared" si="0"/>
        <v>Amber</v>
      </c>
    </row>
    <row r="16" spans="1:14" x14ac:dyDescent="0.45">
      <c r="A16" s="7" t="s">
        <v>53</v>
      </c>
      <c r="B16" s="7" t="s">
        <v>54</v>
      </c>
      <c r="C16" s="7" t="s">
        <v>55</v>
      </c>
      <c r="D16" s="7" t="s">
        <v>56</v>
      </c>
      <c r="E16" s="7" t="s">
        <v>16</v>
      </c>
      <c r="F16" s="7" t="s">
        <v>57</v>
      </c>
      <c r="G16" s="7" t="s">
        <v>125</v>
      </c>
      <c r="H16" s="7" t="s">
        <v>126</v>
      </c>
      <c r="I16" s="7" t="s">
        <v>127</v>
      </c>
      <c r="J16" s="7" t="s">
        <v>128</v>
      </c>
      <c r="K16" s="1" t="s">
        <v>129</v>
      </c>
      <c r="L16" s="6">
        <f>IF(COUNTIFS($B$17:$B$91,"P9",$E$17:$E$91,"&gt;0")=0,"",ROUND(SUMIF($B$17:$B$91,"P9",$E$17:$E$91)/COUNTIFS($B$17:$B$91,"P9",$E$17:$E$91,"&gt;0"),2))</f>
        <v>2</v>
      </c>
      <c r="M16" s="6" t="str">
        <f t="shared" si="0"/>
        <v>Red</v>
      </c>
    </row>
    <row r="17" spans="1:13" ht="34.049999999999997" customHeight="1" x14ac:dyDescent="0.45">
      <c r="A17" s="4" t="s">
        <v>60</v>
      </c>
      <c r="B17" s="4" t="s">
        <v>61</v>
      </c>
      <c r="C17" s="9" t="s">
        <v>114</v>
      </c>
      <c r="D17" s="10" t="s">
        <v>130</v>
      </c>
      <c r="E17" s="11">
        <v>3</v>
      </c>
      <c r="F17" s="12" t="str">
        <f t="shared" ref="F17:F48" si="1">IF(E17="","",IF(E17=1,"Critical",IF(E17=2,"Weak",IF(E17=3,"At Risk",IF(E17=4,"Controlled","Strong")))))</f>
        <v>At Risk</v>
      </c>
      <c r="G17" s="13"/>
      <c r="H17" s="11"/>
      <c r="I17" s="11"/>
      <c r="J17" s="13"/>
    </row>
    <row r="18" spans="1:13" ht="34.049999999999997" customHeight="1" x14ac:dyDescent="0.45">
      <c r="A18" s="4" t="s">
        <v>64</v>
      </c>
      <c r="B18" s="4" t="s">
        <v>61</v>
      </c>
      <c r="C18" s="9" t="s">
        <v>114</v>
      </c>
      <c r="D18" s="10" t="s">
        <v>131</v>
      </c>
      <c r="E18" s="11">
        <v>3</v>
      </c>
      <c r="F18" s="12" t="str">
        <f t="shared" si="1"/>
        <v>At Risk</v>
      </c>
      <c r="G18" s="13"/>
      <c r="H18" s="11"/>
      <c r="I18" s="11"/>
      <c r="J18" s="13"/>
      <c r="K18" s="16" t="s">
        <v>72</v>
      </c>
      <c r="L18" s="15"/>
      <c r="M18" s="15"/>
    </row>
    <row r="19" spans="1:13" ht="34.049999999999997" customHeight="1" x14ac:dyDescent="0.45">
      <c r="A19" s="4" t="s">
        <v>132</v>
      </c>
      <c r="B19" s="4" t="s">
        <v>61</v>
      </c>
      <c r="C19" s="9" t="s">
        <v>114</v>
      </c>
      <c r="D19" s="10" t="s">
        <v>133</v>
      </c>
      <c r="E19" s="11">
        <v>3</v>
      </c>
      <c r="F19" s="12" t="str">
        <f t="shared" si="1"/>
        <v>At Risk</v>
      </c>
      <c r="G19" s="13"/>
      <c r="H19" s="11"/>
      <c r="I19" s="11"/>
      <c r="J19" s="13"/>
      <c r="K19" s="1" t="s">
        <v>134</v>
      </c>
      <c r="L19" s="23">
        <f>IF(COUNT(E17:E91)=0,"",ROUND(AVERAGE(E41:E50,E58:E64,E69:E79),2))</f>
        <v>3.11</v>
      </c>
      <c r="M19" s="18"/>
    </row>
    <row r="20" spans="1:13" ht="34.049999999999997" customHeight="1" x14ac:dyDescent="0.45">
      <c r="A20" s="4" t="s">
        <v>135</v>
      </c>
      <c r="B20" s="4" t="s">
        <v>61</v>
      </c>
      <c r="C20" s="9" t="s">
        <v>114</v>
      </c>
      <c r="D20" s="10" t="s">
        <v>136</v>
      </c>
      <c r="E20" s="11">
        <v>3</v>
      </c>
      <c r="F20" s="12" t="str">
        <f t="shared" si="1"/>
        <v>At Risk</v>
      </c>
      <c r="G20" s="13"/>
      <c r="H20" s="11"/>
      <c r="I20" s="11"/>
      <c r="J20" s="13"/>
      <c r="K20" s="1" t="s">
        <v>137</v>
      </c>
      <c r="L20" s="23">
        <f>IF(COUNT(E17:E91)=0,"",ROUND(AVERAGE(E31:E40),2))</f>
        <v>3</v>
      </c>
      <c r="M20" s="18"/>
    </row>
    <row r="21" spans="1:13" ht="34.049999999999997" customHeight="1" x14ac:dyDescent="0.45">
      <c r="A21" s="4" t="s">
        <v>138</v>
      </c>
      <c r="B21" s="4" t="s">
        <v>61</v>
      </c>
      <c r="C21" s="9" t="s">
        <v>114</v>
      </c>
      <c r="D21" s="10" t="s">
        <v>139</v>
      </c>
      <c r="E21" s="11">
        <v>3</v>
      </c>
      <c r="F21" s="12" t="str">
        <f t="shared" si="1"/>
        <v>At Risk</v>
      </c>
      <c r="G21" s="13"/>
      <c r="H21" s="11"/>
      <c r="I21" s="11"/>
      <c r="J21" s="13"/>
      <c r="K21" s="1" t="s">
        <v>140</v>
      </c>
      <c r="L21" s="23" t="str">
        <f>IF(L5="","",IF(OR(L5&lt;2.8,L8&lt;2.5,L9&lt;2.5,L12&lt;2.5,L14&lt;2.5),"Escalate","Monitor"))</f>
        <v>Monitor</v>
      </c>
      <c r="M21" s="18"/>
    </row>
    <row r="22" spans="1:13" ht="34.049999999999997" customHeight="1" x14ac:dyDescent="0.45">
      <c r="A22" s="4" t="s">
        <v>141</v>
      </c>
      <c r="B22" s="4" t="s">
        <v>61</v>
      </c>
      <c r="C22" s="9" t="s">
        <v>114</v>
      </c>
      <c r="D22" s="10" t="s">
        <v>142</v>
      </c>
      <c r="E22" s="11">
        <v>3</v>
      </c>
      <c r="F22" s="12" t="str">
        <f t="shared" si="1"/>
        <v>At Risk</v>
      </c>
      <c r="G22" s="13"/>
      <c r="H22" s="11"/>
      <c r="I22" s="11"/>
      <c r="J22" s="13"/>
    </row>
    <row r="23" spans="1:13" ht="34.049999999999997" customHeight="1" x14ac:dyDescent="0.45">
      <c r="A23" s="4" t="s">
        <v>143</v>
      </c>
      <c r="B23" s="4" t="s">
        <v>61</v>
      </c>
      <c r="C23" s="9" t="s">
        <v>114</v>
      </c>
      <c r="D23" s="10" t="s">
        <v>144</v>
      </c>
      <c r="E23" s="11">
        <v>3</v>
      </c>
      <c r="F23" s="12" t="str">
        <f t="shared" si="1"/>
        <v>At Risk</v>
      </c>
      <c r="G23" s="13"/>
      <c r="H23" s="11"/>
      <c r="I23" s="11"/>
      <c r="J23" s="13"/>
    </row>
    <row r="24" spans="1:13" ht="34.049999999999997" customHeight="1" x14ac:dyDescent="0.45">
      <c r="A24" s="4" t="s">
        <v>67</v>
      </c>
      <c r="B24" s="4" t="s">
        <v>68</v>
      </c>
      <c r="C24" s="9" t="s">
        <v>116</v>
      </c>
      <c r="D24" s="10" t="s">
        <v>145</v>
      </c>
      <c r="E24" s="11">
        <v>3</v>
      </c>
      <c r="F24" s="12" t="str">
        <f t="shared" si="1"/>
        <v>At Risk</v>
      </c>
      <c r="G24" s="13"/>
      <c r="H24" s="11"/>
      <c r="I24" s="11"/>
      <c r="J24" s="13"/>
    </row>
    <row r="25" spans="1:13" ht="34.049999999999997" customHeight="1" x14ac:dyDescent="0.45">
      <c r="A25" s="4" t="s">
        <v>70</v>
      </c>
      <c r="B25" s="4" t="s">
        <v>68</v>
      </c>
      <c r="C25" s="9" t="s">
        <v>116</v>
      </c>
      <c r="D25" s="10" t="s">
        <v>146</v>
      </c>
      <c r="E25" s="11">
        <v>3</v>
      </c>
      <c r="F25" s="12" t="str">
        <f t="shared" si="1"/>
        <v>At Risk</v>
      </c>
      <c r="G25" s="13"/>
      <c r="H25" s="11"/>
      <c r="I25" s="11"/>
      <c r="J25" s="13"/>
    </row>
    <row r="26" spans="1:13" ht="34.049999999999997" customHeight="1" x14ac:dyDescent="0.45">
      <c r="A26" s="4" t="s">
        <v>147</v>
      </c>
      <c r="B26" s="4" t="s">
        <v>68</v>
      </c>
      <c r="C26" s="9" t="s">
        <v>116</v>
      </c>
      <c r="D26" s="10" t="s">
        <v>148</v>
      </c>
      <c r="E26" s="11">
        <v>3</v>
      </c>
      <c r="F26" s="12" t="str">
        <f t="shared" si="1"/>
        <v>At Risk</v>
      </c>
      <c r="G26" s="13"/>
      <c r="H26" s="11"/>
      <c r="I26" s="11"/>
      <c r="J26" s="13"/>
    </row>
    <row r="27" spans="1:13" ht="34.049999999999997" customHeight="1" x14ac:dyDescent="0.45">
      <c r="A27" s="4" t="s">
        <v>149</v>
      </c>
      <c r="B27" s="4" t="s">
        <v>68</v>
      </c>
      <c r="C27" s="9" t="s">
        <v>116</v>
      </c>
      <c r="D27" s="10" t="s">
        <v>150</v>
      </c>
      <c r="E27" s="11">
        <v>3</v>
      </c>
      <c r="F27" s="12" t="str">
        <f t="shared" si="1"/>
        <v>At Risk</v>
      </c>
      <c r="G27" s="13"/>
      <c r="H27" s="11"/>
      <c r="I27" s="11"/>
      <c r="J27" s="13"/>
    </row>
    <row r="28" spans="1:13" ht="34.049999999999997" customHeight="1" x14ac:dyDescent="0.45">
      <c r="A28" s="4" t="s">
        <v>151</v>
      </c>
      <c r="B28" s="4" t="s">
        <v>68</v>
      </c>
      <c r="C28" s="9" t="s">
        <v>116</v>
      </c>
      <c r="D28" s="10" t="s">
        <v>152</v>
      </c>
      <c r="E28" s="11">
        <v>3</v>
      </c>
      <c r="F28" s="12" t="str">
        <f t="shared" si="1"/>
        <v>At Risk</v>
      </c>
      <c r="G28" s="13"/>
      <c r="H28" s="11"/>
      <c r="I28" s="11"/>
      <c r="J28" s="13"/>
    </row>
    <row r="29" spans="1:13" ht="34.049999999999997" customHeight="1" x14ac:dyDescent="0.45">
      <c r="A29" s="4" t="s">
        <v>153</v>
      </c>
      <c r="B29" s="4" t="s">
        <v>68</v>
      </c>
      <c r="C29" s="9" t="s">
        <v>116</v>
      </c>
      <c r="D29" s="10" t="s">
        <v>154</v>
      </c>
      <c r="E29" s="11">
        <v>3</v>
      </c>
      <c r="F29" s="12" t="str">
        <f t="shared" si="1"/>
        <v>At Risk</v>
      </c>
      <c r="G29" s="13"/>
      <c r="H29" s="11"/>
      <c r="I29" s="11"/>
      <c r="J29" s="13"/>
    </row>
    <row r="30" spans="1:13" ht="34.049999999999997" customHeight="1" x14ac:dyDescent="0.45">
      <c r="A30" s="4" t="s">
        <v>155</v>
      </c>
      <c r="B30" s="4" t="s">
        <v>68</v>
      </c>
      <c r="C30" s="9" t="s">
        <v>116</v>
      </c>
      <c r="D30" s="10" t="s">
        <v>156</v>
      </c>
      <c r="E30" s="11">
        <v>3</v>
      </c>
      <c r="F30" s="12" t="str">
        <f t="shared" si="1"/>
        <v>At Risk</v>
      </c>
      <c r="G30" s="13"/>
      <c r="H30" s="11"/>
      <c r="I30" s="11"/>
      <c r="J30" s="13"/>
    </row>
    <row r="31" spans="1:13" ht="34.049999999999997" customHeight="1" x14ac:dyDescent="0.45">
      <c r="A31" s="4" t="s">
        <v>73</v>
      </c>
      <c r="B31" s="4" t="s">
        <v>74</v>
      </c>
      <c r="C31" s="9" t="s">
        <v>118</v>
      </c>
      <c r="D31" s="10" t="s">
        <v>157</v>
      </c>
      <c r="E31" s="11">
        <v>3</v>
      </c>
      <c r="F31" s="12" t="str">
        <f t="shared" si="1"/>
        <v>At Risk</v>
      </c>
      <c r="G31" s="13"/>
      <c r="H31" s="11"/>
      <c r="I31" s="11"/>
      <c r="J31" s="13"/>
    </row>
    <row r="32" spans="1:13" ht="34.049999999999997" customHeight="1" x14ac:dyDescent="0.45">
      <c r="A32" s="4" t="s">
        <v>77</v>
      </c>
      <c r="B32" s="4" t="s">
        <v>74</v>
      </c>
      <c r="C32" s="9" t="s">
        <v>118</v>
      </c>
      <c r="D32" s="10" t="s">
        <v>158</v>
      </c>
      <c r="E32" s="11">
        <v>3</v>
      </c>
      <c r="F32" s="12" t="str">
        <f t="shared" si="1"/>
        <v>At Risk</v>
      </c>
      <c r="G32" s="13"/>
      <c r="H32" s="11"/>
      <c r="I32" s="11"/>
      <c r="J32" s="13"/>
    </row>
    <row r="33" spans="1:10" ht="34.049999999999997" customHeight="1" x14ac:dyDescent="0.45">
      <c r="A33" s="4" t="s">
        <v>159</v>
      </c>
      <c r="B33" s="4" t="s">
        <v>74</v>
      </c>
      <c r="C33" s="9" t="s">
        <v>118</v>
      </c>
      <c r="D33" s="10" t="s">
        <v>160</v>
      </c>
      <c r="E33" s="11">
        <v>3</v>
      </c>
      <c r="F33" s="12" t="str">
        <f t="shared" si="1"/>
        <v>At Risk</v>
      </c>
      <c r="G33" s="13"/>
      <c r="H33" s="11"/>
      <c r="I33" s="11"/>
      <c r="J33" s="13"/>
    </row>
    <row r="34" spans="1:10" ht="34.049999999999997" customHeight="1" x14ac:dyDescent="0.45">
      <c r="A34" s="4" t="s">
        <v>161</v>
      </c>
      <c r="B34" s="4" t="s">
        <v>74</v>
      </c>
      <c r="C34" s="9" t="s">
        <v>118</v>
      </c>
      <c r="D34" s="10" t="s">
        <v>162</v>
      </c>
      <c r="E34" s="11">
        <v>3</v>
      </c>
      <c r="F34" s="12" t="str">
        <f t="shared" si="1"/>
        <v>At Risk</v>
      </c>
      <c r="G34" s="13"/>
      <c r="H34" s="11"/>
      <c r="I34" s="11"/>
      <c r="J34" s="13"/>
    </row>
    <row r="35" spans="1:10" ht="34.049999999999997" customHeight="1" x14ac:dyDescent="0.45">
      <c r="A35" s="4" t="s">
        <v>163</v>
      </c>
      <c r="B35" s="4" t="s">
        <v>74</v>
      </c>
      <c r="C35" s="9" t="s">
        <v>118</v>
      </c>
      <c r="D35" s="10" t="s">
        <v>164</v>
      </c>
      <c r="E35" s="11">
        <v>3</v>
      </c>
      <c r="F35" s="12" t="str">
        <f t="shared" si="1"/>
        <v>At Risk</v>
      </c>
      <c r="G35" s="13"/>
      <c r="H35" s="11"/>
      <c r="I35" s="11"/>
      <c r="J35" s="13"/>
    </row>
    <row r="36" spans="1:10" ht="34.049999999999997" customHeight="1" x14ac:dyDescent="0.45">
      <c r="A36" s="4" t="s">
        <v>165</v>
      </c>
      <c r="B36" s="4" t="s">
        <v>74</v>
      </c>
      <c r="C36" s="9" t="s">
        <v>118</v>
      </c>
      <c r="D36" s="10" t="s">
        <v>166</v>
      </c>
      <c r="E36" s="11">
        <v>3</v>
      </c>
      <c r="F36" s="12" t="str">
        <f t="shared" si="1"/>
        <v>At Risk</v>
      </c>
      <c r="G36" s="13"/>
      <c r="H36" s="11"/>
      <c r="I36" s="11"/>
      <c r="J36" s="13"/>
    </row>
    <row r="37" spans="1:10" ht="34.049999999999997" customHeight="1" x14ac:dyDescent="0.45">
      <c r="A37" s="4" t="s">
        <v>167</v>
      </c>
      <c r="B37" s="4" t="s">
        <v>74</v>
      </c>
      <c r="C37" s="9" t="s">
        <v>118</v>
      </c>
      <c r="D37" s="10" t="s">
        <v>168</v>
      </c>
      <c r="E37" s="11">
        <v>3</v>
      </c>
      <c r="F37" s="12" t="str">
        <f t="shared" si="1"/>
        <v>At Risk</v>
      </c>
      <c r="G37" s="13"/>
      <c r="H37" s="11"/>
      <c r="I37" s="11"/>
      <c r="J37" s="13"/>
    </row>
    <row r="38" spans="1:10" ht="34.049999999999997" customHeight="1" x14ac:dyDescent="0.45">
      <c r="A38" s="4" t="s">
        <v>169</v>
      </c>
      <c r="B38" s="4" t="s">
        <v>74</v>
      </c>
      <c r="C38" s="9" t="s">
        <v>118</v>
      </c>
      <c r="D38" s="10" t="s">
        <v>170</v>
      </c>
      <c r="E38" s="11">
        <v>3</v>
      </c>
      <c r="F38" s="12" t="str">
        <f t="shared" si="1"/>
        <v>At Risk</v>
      </c>
      <c r="G38" s="13"/>
      <c r="H38" s="11"/>
      <c r="I38" s="11"/>
      <c r="J38" s="13"/>
    </row>
    <row r="39" spans="1:10" ht="34.049999999999997" customHeight="1" x14ac:dyDescent="0.45">
      <c r="A39" s="4" t="s">
        <v>171</v>
      </c>
      <c r="B39" s="4" t="s">
        <v>74</v>
      </c>
      <c r="C39" s="9" t="s">
        <v>118</v>
      </c>
      <c r="D39" s="10" t="s">
        <v>172</v>
      </c>
      <c r="E39" s="11">
        <v>3</v>
      </c>
      <c r="F39" s="12" t="str">
        <f t="shared" si="1"/>
        <v>At Risk</v>
      </c>
      <c r="G39" s="13"/>
      <c r="H39" s="11"/>
      <c r="I39" s="11"/>
      <c r="J39" s="13"/>
    </row>
    <row r="40" spans="1:10" ht="34.049999999999997" customHeight="1" x14ac:dyDescent="0.45">
      <c r="A40" s="4" t="s">
        <v>173</v>
      </c>
      <c r="B40" s="4" t="s">
        <v>74</v>
      </c>
      <c r="C40" s="9" t="s">
        <v>118</v>
      </c>
      <c r="D40" s="10" t="s">
        <v>174</v>
      </c>
      <c r="E40" s="11">
        <v>3</v>
      </c>
      <c r="F40" s="12" t="str">
        <f t="shared" si="1"/>
        <v>At Risk</v>
      </c>
      <c r="G40" s="13"/>
      <c r="H40" s="11"/>
      <c r="I40" s="11"/>
      <c r="J40" s="13"/>
    </row>
    <row r="41" spans="1:10" ht="34.049999999999997" customHeight="1" x14ac:dyDescent="0.45">
      <c r="A41" s="4" t="s">
        <v>79</v>
      </c>
      <c r="B41" s="4" t="s">
        <v>80</v>
      </c>
      <c r="C41" s="9" t="s">
        <v>120</v>
      </c>
      <c r="D41" s="10" t="s">
        <v>175</v>
      </c>
      <c r="E41" s="11">
        <v>3</v>
      </c>
      <c r="F41" s="12" t="str">
        <f t="shared" si="1"/>
        <v>At Risk</v>
      </c>
      <c r="G41" s="13"/>
      <c r="H41" s="11"/>
      <c r="I41" s="11"/>
      <c r="J41" s="13"/>
    </row>
    <row r="42" spans="1:10" ht="34.049999999999997" customHeight="1" x14ac:dyDescent="0.45">
      <c r="A42" s="4" t="s">
        <v>82</v>
      </c>
      <c r="B42" s="4" t="s">
        <v>80</v>
      </c>
      <c r="C42" s="9" t="s">
        <v>120</v>
      </c>
      <c r="D42" s="10" t="s">
        <v>176</v>
      </c>
      <c r="E42" s="11">
        <v>3</v>
      </c>
      <c r="F42" s="12" t="str">
        <f t="shared" si="1"/>
        <v>At Risk</v>
      </c>
      <c r="G42" s="13"/>
      <c r="H42" s="11"/>
      <c r="I42" s="11"/>
      <c r="J42" s="13"/>
    </row>
    <row r="43" spans="1:10" ht="34.049999999999997" customHeight="1" x14ac:dyDescent="0.45">
      <c r="A43" s="4" t="s">
        <v>177</v>
      </c>
      <c r="B43" s="4" t="s">
        <v>80</v>
      </c>
      <c r="C43" s="9" t="s">
        <v>120</v>
      </c>
      <c r="D43" s="10" t="s">
        <v>178</v>
      </c>
      <c r="E43" s="11">
        <v>3</v>
      </c>
      <c r="F43" s="12" t="str">
        <f t="shared" si="1"/>
        <v>At Risk</v>
      </c>
      <c r="G43" s="13"/>
      <c r="H43" s="11"/>
      <c r="I43" s="11"/>
      <c r="J43" s="13"/>
    </row>
    <row r="44" spans="1:10" ht="34.049999999999997" customHeight="1" x14ac:dyDescent="0.45">
      <c r="A44" s="4" t="s">
        <v>179</v>
      </c>
      <c r="B44" s="4" t="s">
        <v>80</v>
      </c>
      <c r="C44" s="9" t="s">
        <v>120</v>
      </c>
      <c r="D44" s="10" t="s">
        <v>180</v>
      </c>
      <c r="E44" s="11">
        <v>3</v>
      </c>
      <c r="F44" s="12" t="str">
        <f t="shared" si="1"/>
        <v>At Risk</v>
      </c>
      <c r="G44" s="13"/>
      <c r="H44" s="11"/>
      <c r="I44" s="11"/>
      <c r="J44" s="13"/>
    </row>
    <row r="45" spans="1:10" ht="34.049999999999997" customHeight="1" x14ac:dyDescent="0.45">
      <c r="A45" s="4" t="s">
        <v>181</v>
      </c>
      <c r="B45" s="4" t="s">
        <v>80</v>
      </c>
      <c r="C45" s="9" t="s">
        <v>120</v>
      </c>
      <c r="D45" s="10" t="s">
        <v>182</v>
      </c>
      <c r="E45" s="11">
        <v>3</v>
      </c>
      <c r="F45" s="12" t="str">
        <f t="shared" si="1"/>
        <v>At Risk</v>
      </c>
      <c r="G45" s="13"/>
      <c r="H45" s="11"/>
      <c r="I45" s="11"/>
      <c r="J45" s="13"/>
    </row>
    <row r="46" spans="1:10" ht="34.049999999999997" customHeight="1" x14ac:dyDescent="0.45">
      <c r="A46" s="4" t="s">
        <v>183</v>
      </c>
      <c r="B46" s="4" t="s">
        <v>80</v>
      </c>
      <c r="C46" s="9" t="s">
        <v>120</v>
      </c>
      <c r="D46" s="10" t="s">
        <v>184</v>
      </c>
      <c r="E46" s="11">
        <v>3</v>
      </c>
      <c r="F46" s="12" t="str">
        <f t="shared" si="1"/>
        <v>At Risk</v>
      </c>
      <c r="G46" s="13"/>
      <c r="H46" s="11"/>
      <c r="I46" s="11"/>
      <c r="J46" s="13"/>
    </row>
    <row r="47" spans="1:10" ht="34.049999999999997" customHeight="1" x14ac:dyDescent="0.45">
      <c r="A47" s="4" t="s">
        <v>185</v>
      </c>
      <c r="B47" s="4" t="s">
        <v>80</v>
      </c>
      <c r="C47" s="9" t="s">
        <v>120</v>
      </c>
      <c r="D47" s="10" t="s">
        <v>186</v>
      </c>
      <c r="E47" s="11">
        <v>3</v>
      </c>
      <c r="F47" s="12" t="str">
        <f t="shared" si="1"/>
        <v>At Risk</v>
      </c>
      <c r="G47" s="13"/>
      <c r="H47" s="11"/>
      <c r="I47" s="11"/>
      <c r="J47" s="13"/>
    </row>
    <row r="48" spans="1:10" ht="34.049999999999997" customHeight="1" x14ac:dyDescent="0.45">
      <c r="A48" s="4" t="s">
        <v>187</v>
      </c>
      <c r="B48" s="4" t="s">
        <v>80</v>
      </c>
      <c r="C48" s="9" t="s">
        <v>120</v>
      </c>
      <c r="D48" s="10" t="s">
        <v>188</v>
      </c>
      <c r="E48" s="11">
        <v>3</v>
      </c>
      <c r="F48" s="12" t="str">
        <f t="shared" si="1"/>
        <v>At Risk</v>
      </c>
      <c r="G48" s="13"/>
      <c r="H48" s="11"/>
      <c r="I48" s="11"/>
      <c r="J48" s="13"/>
    </row>
    <row r="49" spans="1:10" ht="34.049999999999997" customHeight="1" x14ac:dyDescent="0.45">
      <c r="A49" s="4" t="s">
        <v>189</v>
      </c>
      <c r="B49" s="4" t="s">
        <v>80</v>
      </c>
      <c r="C49" s="9" t="s">
        <v>120</v>
      </c>
      <c r="D49" s="10" t="s">
        <v>190</v>
      </c>
      <c r="E49" s="11">
        <v>3</v>
      </c>
      <c r="F49" s="12" t="str">
        <f t="shared" ref="F49:F80" si="2">IF(E49="","",IF(E49=1,"Critical",IF(E49=2,"Weak",IF(E49=3,"At Risk",IF(E49=4,"Controlled","Strong")))))</f>
        <v>At Risk</v>
      </c>
      <c r="G49" s="13"/>
      <c r="H49" s="11"/>
      <c r="I49" s="11"/>
      <c r="J49" s="13"/>
    </row>
    <row r="50" spans="1:10" ht="34.049999999999997" customHeight="1" x14ac:dyDescent="0.45">
      <c r="A50" s="4" t="s">
        <v>191</v>
      </c>
      <c r="B50" s="4" t="s">
        <v>80</v>
      </c>
      <c r="C50" s="9" t="s">
        <v>120</v>
      </c>
      <c r="D50" s="10" t="s">
        <v>192</v>
      </c>
      <c r="E50" s="11">
        <v>3</v>
      </c>
      <c r="F50" s="12" t="str">
        <f t="shared" si="2"/>
        <v>At Risk</v>
      </c>
      <c r="G50" s="13"/>
      <c r="H50" s="11"/>
      <c r="I50" s="11"/>
      <c r="J50" s="13"/>
    </row>
    <row r="51" spans="1:10" ht="34.049999999999997" customHeight="1" x14ac:dyDescent="0.45">
      <c r="A51" s="4" t="s">
        <v>84</v>
      </c>
      <c r="B51" s="4" t="s">
        <v>85</v>
      </c>
      <c r="C51" s="9" t="s">
        <v>122</v>
      </c>
      <c r="D51" s="10" t="s">
        <v>193</v>
      </c>
      <c r="E51" s="11">
        <v>3</v>
      </c>
      <c r="F51" s="12" t="str">
        <f t="shared" si="2"/>
        <v>At Risk</v>
      </c>
      <c r="G51" s="13"/>
      <c r="H51" s="11"/>
      <c r="I51" s="11"/>
      <c r="J51" s="13"/>
    </row>
    <row r="52" spans="1:10" ht="34.049999999999997" customHeight="1" x14ac:dyDescent="0.45">
      <c r="A52" s="4" t="s">
        <v>87</v>
      </c>
      <c r="B52" s="4" t="s">
        <v>85</v>
      </c>
      <c r="C52" s="9" t="s">
        <v>122</v>
      </c>
      <c r="D52" s="10" t="s">
        <v>194</v>
      </c>
      <c r="E52" s="11">
        <v>3</v>
      </c>
      <c r="F52" s="12" t="str">
        <f t="shared" si="2"/>
        <v>At Risk</v>
      </c>
      <c r="G52" s="13"/>
      <c r="H52" s="11"/>
      <c r="I52" s="11"/>
      <c r="J52" s="13"/>
    </row>
    <row r="53" spans="1:10" ht="34.049999999999997" customHeight="1" x14ac:dyDescent="0.45">
      <c r="A53" s="4" t="s">
        <v>195</v>
      </c>
      <c r="B53" s="4" t="s">
        <v>85</v>
      </c>
      <c r="C53" s="9" t="s">
        <v>122</v>
      </c>
      <c r="D53" s="10" t="s">
        <v>196</v>
      </c>
      <c r="E53" s="11">
        <v>3</v>
      </c>
      <c r="F53" s="12" t="str">
        <f t="shared" si="2"/>
        <v>At Risk</v>
      </c>
      <c r="G53" s="13"/>
      <c r="H53" s="11"/>
      <c r="I53" s="11"/>
      <c r="J53" s="13"/>
    </row>
    <row r="54" spans="1:10" ht="34.049999999999997" customHeight="1" x14ac:dyDescent="0.45">
      <c r="A54" s="4" t="s">
        <v>197</v>
      </c>
      <c r="B54" s="4" t="s">
        <v>85</v>
      </c>
      <c r="C54" s="9" t="s">
        <v>122</v>
      </c>
      <c r="D54" s="10" t="s">
        <v>198</v>
      </c>
      <c r="E54" s="11">
        <v>3</v>
      </c>
      <c r="F54" s="12" t="str">
        <f t="shared" si="2"/>
        <v>At Risk</v>
      </c>
      <c r="G54" s="13"/>
      <c r="H54" s="11"/>
      <c r="I54" s="11"/>
      <c r="J54" s="13"/>
    </row>
    <row r="55" spans="1:10" ht="34.049999999999997" customHeight="1" x14ac:dyDescent="0.45">
      <c r="A55" s="4" t="s">
        <v>199</v>
      </c>
      <c r="B55" s="4" t="s">
        <v>85</v>
      </c>
      <c r="C55" s="9" t="s">
        <v>122</v>
      </c>
      <c r="D55" s="10" t="s">
        <v>200</v>
      </c>
      <c r="E55" s="11">
        <v>3</v>
      </c>
      <c r="F55" s="12" t="str">
        <f t="shared" si="2"/>
        <v>At Risk</v>
      </c>
      <c r="G55" s="13"/>
      <c r="H55" s="11"/>
      <c r="I55" s="11"/>
      <c r="J55" s="13"/>
    </row>
    <row r="56" spans="1:10" ht="34.049999999999997" customHeight="1" x14ac:dyDescent="0.45">
      <c r="A56" s="4" t="s">
        <v>201</v>
      </c>
      <c r="B56" s="4" t="s">
        <v>85</v>
      </c>
      <c r="C56" s="9" t="s">
        <v>122</v>
      </c>
      <c r="D56" s="10" t="s">
        <v>202</v>
      </c>
      <c r="E56" s="11">
        <v>3</v>
      </c>
      <c r="F56" s="12" t="str">
        <f t="shared" si="2"/>
        <v>At Risk</v>
      </c>
      <c r="G56" s="13"/>
      <c r="H56" s="11"/>
      <c r="I56" s="11"/>
      <c r="J56" s="13"/>
    </row>
    <row r="57" spans="1:10" ht="34.049999999999997" customHeight="1" x14ac:dyDescent="0.45">
      <c r="A57" s="4" t="s">
        <v>203</v>
      </c>
      <c r="B57" s="4" t="s">
        <v>85</v>
      </c>
      <c r="C57" s="9" t="s">
        <v>122</v>
      </c>
      <c r="D57" s="10" t="s">
        <v>204</v>
      </c>
      <c r="E57" s="11">
        <v>3</v>
      </c>
      <c r="F57" s="12" t="str">
        <f t="shared" si="2"/>
        <v>At Risk</v>
      </c>
      <c r="G57" s="13"/>
      <c r="H57" s="11"/>
      <c r="I57" s="11"/>
      <c r="J57" s="13"/>
    </row>
    <row r="58" spans="1:10" ht="34.049999999999997" customHeight="1" x14ac:dyDescent="0.45">
      <c r="A58" s="4" t="s">
        <v>89</v>
      </c>
      <c r="B58" s="4" t="s">
        <v>90</v>
      </c>
      <c r="C58" s="9" t="s">
        <v>52</v>
      </c>
      <c r="D58" s="10" t="s">
        <v>205</v>
      </c>
      <c r="E58" s="11">
        <v>3</v>
      </c>
      <c r="F58" s="12" t="str">
        <f t="shared" si="2"/>
        <v>At Risk</v>
      </c>
      <c r="G58" s="13"/>
      <c r="H58" s="11"/>
      <c r="I58" s="11"/>
      <c r="J58" s="13"/>
    </row>
    <row r="59" spans="1:10" ht="34.049999999999997" customHeight="1" x14ac:dyDescent="0.45">
      <c r="A59" s="4" t="s">
        <v>92</v>
      </c>
      <c r="B59" s="4" t="s">
        <v>90</v>
      </c>
      <c r="C59" s="9" t="s">
        <v>52</v>
      </c>
      <c r="D59" s="10" t="s">
        <v>206</v>
      </c>
      <c r="E59" s="11">
        <v>3</v>
      </c>
      <c r="F59" s="12" t="str">
        <f t="shared" si="2"/>
        <v>At Risk</v>
      </c>
      <c r="G59" s="13"/>
      <c r="H59" s="11"/>
      <c r="I59" s="11"/>
      <c r="J59" s="13"/>
    </row>
    <row r="60" spans="1:10" ht="34.049999999999997" customHeight="1" x14ac:dyDescent="0.45">
      <c r="A60" s="4" t="s">
        <v>207</v>
      </c>
      <c r="B60" s="4" t="s">
        <v>90</v>
      </c>
      <c r="C60" s="9" t="s">
        <v>52</v>
      </c>
      <c r="D60" s="10" t="s">
        <v>208</v>
      </c>
      <c r="E60" s="11">
        <v>3</v>
      </c>
      <c r="F60" s="12" t="str">
        <f t="shared" si="2"/>
        <v>At Risk</v>
      </c>
      <c r="G60" s="13"/>
      <c r="H60" s="11"/>
      <c r="I60" s="11"/>
      <c r="J60" s="13"/>
    </row>
    <row r="61" spans="1:10" ht="34.049999999999997" customHeight="1" x14ac:dyDescent="0.45">
      <c r="A61" s="4" t="s">
        <v>209</v>
      </c>
      <c r="B61" s="4" t="s">
        <v>90</v>
      </c>
      <c r="C61" s="9" t="s">
        <v>52</v>
      </c>
      <c r="D61" s="10" t="s">
        <v>210</v>
      </c>
      <c r="E61" s="11">
        <v>3</v>
      </c>
      <c r="F61" s="12" t="str">
        <f t="shared" si="2"/>
        <v>At Risk</v>
      </c>
      <c r="G61" s="13"/>
      <c r="H61" s="11"/>
      <c r="I61" s="11"/>
      <c r="J61" s="13"/>
    </row>
    <row r="62" spans="1:10" ht="34.049999999999997" customHeight="1" x14ac:dyDescent="0.45">
      <c r="A62" s="4" t="s">
        <v>211</v>
      </c>
      <c r="B62" s="4" t="s">
        <v>90</v>
      </c>
      <c r="C62" s="9" t="s">
        <v>52</v>
      </c>
      <c r="D62" s="10" t="s">
        <v>212</v>
      </c>
      <c r="E62" s="11">
        <v>3</v>
      </c>
      <c r="F62" s="12" t="str">
        <f t="shared" si="2"/>
        <v>At Risk</v>
      </c>
      <c r="G62" s="13"/>
      <c r="H62" s="11"/>
      <c r="I62" s="11"/>
      <c r="J62" s="13"/>
    </row>
    <row r="63" spans="1:10" ht="34.049999999999997" customHeight="1" x14ac:dyDescent="0.45">
      <c r="A63" s="4" t="s">
        <v>213</v>
      </c>
      <c r="B63" s="4" t="s">
        <v>90</v>
      </c>
      <c r="C63" s="9" t="s">
        <v>52</v>
      </c>
      <c r="D63" s="10" t="s">
        <v>214</v>
      </c>
      <c r="E63" s="11">
        <v>3</v>
      </c>
      <c r="F63" s="12" t="str">
        <f t="shared" si="2"/>
        <v>At Risk</v>
      </c>
      <c r="G63" s="13"/>
      <c r="H63" s="11"/>
      <c r="I63" s="11"/>
      <c r="J63" s="13"/>
    </row>
    <row r="64" spans="1:10" ht="34.049999999999997" customHeight="1" x14ac:dyDescent="0.45">
      <c r="A64" s="4" t="s">
        <v>215</v>
      </c>
      <c r="B64" s="4" t="s">
        <v>90</v>
      </c>
      <c r="C64" s="9" t="s">
        <v>52</v>
      </c>
      <c r="D64" s="10" t="s">
        <v>216</v>
      </c>
      <c r="E64" s="11">
        <v>3</v>
      </c>
      <c r="F64" s="12" t="str">
        <f t="shared" si="2"/>
        <v>At Risk</v>
      </c>
      <c r="G64" s="13"/>
      <c r="H64" s="11"/>
      <c r="I64" s="11"/>
      <c r="J64" s="13"/>
    </row>
    <row r="65" spans="1:10" ht="34.049999999999997" customHeight="1" x14ac:dyDescent="0.45">
      <c r="A65" s="4" t="s">
        <v>94</v>
      </c>
      <c r="B65" s="4" t="s">
        <v>95</v>
      </c>
      <c r="C65" s="9" t="s">
        <v>123</v>
      </c>
      <c r="D65" s="10" t="s">
        <v>217</v>
      </c>
      <c r="E65" s="11">
        <v>3</v>
      </c>
      <c r="F65" s="12" t="str">
        <f t="shared" si="2"/>
        <v>At Risk</v>
      </c>
      <c r="G65" s="13"/>
      <c r="H65" s="11"/>
      <c r="I65" s="11"/>
      <c r="J65" s="13"/>
    </row>
    <row r="66" spans="1:10" ht="34.049999999999997" customHeight="1" x14ac:dyDescent="0.45">
      <c r="A66" s="4" t="s">
        <v>97</v>
      </c>
      <c r="B66" s="4" t="s">
        <v>95</v>
      </c>
      <c r="C66" s="9" t="s">
        <v>123</v>
      </c>
      <c r="D66" s="10" t="s">
        <v>218</v>
      </c>
      <c r="E66" s="11">
        <v>3</v>
      </c>
      <c r="F66" s="12" t="str">
        <f t="shared" si="2"/>
        <v>At Risk</v>
      </c>
      <c r="G66" s="13"/>
      <c r="H66" s="11"/>
      <c r="I66" s="11"/>
      <c r="J66" s="13"/>
    </row>
    <row r="67" spans="1:10" ht="34.049999999999997" customHeight="1" x14ac:dyDescent="0.45">
      <c r="A67" s="4" t="s">
        <v>219</v>
      </c>
      <c r="B67" s="4" t="s">
        <v>95</v>
      </c>
      <c r="C67" s="9" t="s">
        <v>123</v>
      </c>
      <c r="D67" s="10" t="s">
        <v>220</v>
      </c>
      <c r="E67" s="11">
        <v>3</v>
      </c>
      <c r="F67" s="12" t="str">
        <f t="shared" si="2"/>
        <v>At Risk</v>
      </c>
      <c r="G67" s="13"/>
      <c r="H67" s="11"/>
      <c r="I67" s="11"/>
      <c r="J67" s="13"/>
    </row>
    <row r="68" spans="1:10" ht="34.049999999999997" customHeight="1" x14ac:dyDescent="0.45">
      <c r="A68" s="4" t="s">
        <v>221</v>
      </c>
      <c r="B68" s="4" t="s">
        <v>95</v>
      </c>
      <c r="C68" s="9" t="s">
        <v>123</v>
      </c>
      <c r="D68" s="10" t="s">
        <v>222</v>
      </c>
      <c r="E68" s="11">
        <v>3</v>
      </c>
      <c r="F68" s="12" t="str">
        <f t="shared" si="2"/>
        <v>At Risk</v>
      </c>
      <c r="G68" s="13"/>
      <c r="H68" s="11"/>
      <c r="I68" s="11"/>
      <c r="J68" s="13"/>
    </row>
    <row r="69" spans="1:10" ht="34.049999999999997" customHeight="1" x14ac:dyDescent="0.45">
      <c r="A69" s="4" t="s">
        <v>223</v>
      </c>
      <c r="B69" s="4" t="s">
        <v>95</v>
      </c>
      <c r="C69" s="9" t="s">
        <v>123</v>
      </c>
      <c r="D69" s="10" t="s">
        <v>224</v>
      </c>
      <c r="E69" s="11">
        <v>3</v>
      </c>
      <c r="F69" s="12" t="str">
        <f t="shared" si="2"/>
        <v>At Risk</v>
      </c>
      <c r="G69" s="13"/>
      <c r="H69" s="11" t="s">
        <v>422</v>
      </c>
      <c r="I69" s="11"/>
      <c r="J69" s="13"/>
    </row>
    <row r="70" spans="1:10" ht="34.049999999999997" customHeight="1" x14ac:dyDescent="0.45">
      <c r="A70" s="4" t="s">
        <v>225</v>
      </c>
      <c r="B70" s="4" t="s">
        <v>95</v>
      </c>
      <c r="C70" s="9" t="s">
        <v>123</v>
      </c>
      <c r="D70" s="10" t="s">
        <v>226</v>
      </c>
      <c r="E70" s="11">
        <v>3</v>
      </c>
      <c r="F70" s="12" t="str">
        <f t="shared" si="2"/>
        <v>At Risk</v>
      </c>
      <c r="G70" s="13"/>
      <c r="H70" s="11"/>
      <c r="I70" s="11"/>
      <c r="J70" s="13"/>
    </row>
    <row r="71" spans="1:10" ht="34.049999999999997" customHeight="1" x14ac:dyDescent="0.45">
      <c r="A71" s="4" t="s">
        <v>227</v>
      </c>
      <c r="B71" s="4" t="s">
        <v>95</v>
      </c>
      <c r="C71" s="9" t="s">
        <v>123</v>
      </c>
      <c r="D71" s="10" t="s">
        <v>228</v>
      </c>
      <c r="E71" s="11">
        <v>3</v>
      </c>
      <c r="F71" s="12" t="str">
        <f t="shared" si="2"/>
        <v>At Risk</v>
      </c>
      <c r="G71" s="13"/>
      <c r="H71" s="11"/>
      <c r="I71" s="11"/>
      <c r="J71" s="13"/>
    </row>
    <row r="72" spans="1:10" ht="34.049999999999997" customHeight="1" x14ac:dyDescent="0.45">
      <c r="A72" s="4" t="s">
        <v>229</v>
      </c>
      <c r="B72" s="4" t="s">
        <v>95</v>
      </c>
      <c r="C72" s="9" t="s">
        <v>123</v>
      </c>
      <c r="D72" s="10" t="s">
        <v>230</v>
      </c>
      <c r="E72" s="11">
        <v>3</v>
      </c>
      <c r="F72" s="12" t="str">
        <f t="shared" si="2"/>
        <v>At Risk</v>
      </c>
      <c r="G72" s="13"/>
      <c r="H72" s="11"/>
      <c r="I72" s="11"/>
      <c r="J72" s="13"/>
    </row>
    <row r="73" spans="1:10" ht="34.049999999999997" customHeight="1" x14ac:dyDescent="0.45">
      <c r="A73" s="4" t="s">
        <v>231</v>
      </c>
      <c r="B73" s="4" t="s">
        <v>95</v>
      </c>
      <c r="C73" s="9" t="s">
        <v>123</v>
      </c>
      <c r="D73" s="10" t="s">
        <v>232</v>
      </c>
      <c r="E73" s="11">
        <v>3</v>
      </c>
      <c r="F73" s="12" t="str">
        <f t="shared" si="2"/>
        <v>At Risk</v>
      </c>
      <c r="G73" s="13"/>
      <c r="H73" s="11"/>
      <c r="I73" s="11"/>
      <c r="J73" s="13"/>
    </row>
    <row r="74" spans="1:10" ht="34.049999999999997" customHeight="1" x14ac:dyDescent="0.45">
      <c r="A74" s="4" t="s">
        <v>233</v>
      </c>
      <c r="B74" s="4" t="s">
        <v>95</v>
      </c>
      <c r="C74" s="9" t="s">
        <v>123</v>
      </c>
      <c r="D74" s="10" t="s">
        <v>234</v>
      </c>
      <c r="E74" s="11">
        <v>3</v>
      </c>
      <c r="F74" s="12" t="str">
        <f t="shared" si="2"/>
        <v>At Risk</v>
      </c>
      <c r="G74" s="13"/>
      <c r="H74" s="11"/>
      <c r="I74" s="11"/>
      <c r="J74" s="13"/>
    </row>
    <row r="75" spans="1:10" ht="34.049999999999997" customHeight="1" x14ac:dyDescent="0.45">
      <c r="A75" s="4" t="s">
        <v>235</v>
      </c>
      <c r="B75" s="4" t="s">
        <v>95</v>
      </c>
      <c r="C75" s="9" t="s">
        <v>123</v>
      </c>
      <c r="D75" s="10" t="s">
        <v>236</v>
      </c>
      <c r="E75" s="11">
        <v>3</v>
      </c>
      <c r="F75" s="12" t="str">
        <f t="shared" si="2"/>
        <v>At Risk</v>
      </c>
      <c r="G75" s="13"/>
      <c r="H75" s="11"/>
      <c r="I75" s="11"/>
      <c r="J75" s="13"/>
    </row>
    <row r="76" spans="1:10" ht="34.049999999999997" customHeight="1" x14ac:dyDescent="0.45">
      <c r="A76" s="4" t="s">
        <v>237</v>
      </c>
      <c r="B76" s="4" t="s">
        <v>95</v>
      </c>
      <c r="C76" s="9" t="s">
        <v>123</v>
      </c>
      <c r="D76" s="10" t="s">
        <v>238</v>
      </c>
      <c r="E76" s="11">
        <v>3</v>
      </c>
      <c r="F76" s="12" t="str">
        <f t="shared" si="2"/>
        <v>At Risk</v>
      </c>
      <c r="G76" s="13"/>
      <c r="H76" s="11"/>
      <c r="I76" s="11"/>
      <c r="J76" s="13"/>
    </row>
    <row r="77" spans="1:10" ht="34.049999999999997" customHeight="1" x14ac:dyDescent="0.45">
      <c r="A77" s="4" t="s">
        <v>239</v>
      </c>
      <c r="B77" s="4" t="s">
        <v>95</v>
      </c>
      <c r="C77" s="9" t="s">
        <v>123</v>
      </c>
      <c r="D77" s="10" t="s">
        <v>240</v>
      </c>
      <c r="E77" s="11">
        <v>4</v>
      </c>
      <c r="F77" s="12" t="str">
        <f t="shared" si="2"/>
        <v>Controlled</v>
      </c>
      <c r="G77" s="13"/>
      <c r="H77" s="11"/>
      <c r="I77" s="11"/>
      <c r="J77" s="13"/>
    </row>
    <row r="78" spans="1:10" ht="34.049999999999997" customHeight="1" x14ac:dyDescent="0.45">
      <c r="A78" s="4" t="s">
        <v>241</v>
      </c>
      <c r="B78" s="4" t="s">
        <v>95</v>
      </c>
      <c r="C78" s="9" t="s">
        <v>123</v>
      </c>
      <c r="D78" s="10" t="s">
        <v>242</v>
      </c>
      <c r="E78" s="11">
        <v>4</v>
      </c>
      <c r="F78" s="12" t="str">
        <f t="shared" si="2"/>
        <v>Controlled</v>
      </c>
      <c r="G78" s="13"/>
      <c r="H78" s="11"/>
      <c r="I78" s="11"/>
      <c r="J78" s="13"/>
    </row>
    <row r="79" spans="1:10" ht="34.049999999999997" customHeight="1" x14ac:dyDescent="0.45">
      <c r="A79" s="4" t="s">
        <v>243</v>
      </c>
      <c r="B79" s="4" t="s">
        <v>95</v>
      </c>
      <c r="C79" s="9" t="s">
        <v>123</v>
      </c>
      <c r="D79" s="10" t="s">
        <v>244</v>
      </c>
      <c r="E79" s="11">
        <v>4</v>
      </c>
      <c r="F79" s="12" t="str">
        <f t="shared" si="2"/>
        <v>Controlled</v>
      </c>
      <c r="G79" s="13"/>
      <c r="H79" s="11"/>
      <c r="I79" s="11"/>
      <c r="J79" s="13"/>
    </row>
    <row r="80" spans="1:10" ht="34.049999999999997" customHeight="1" x14ac:dyDescent="0.45">
      <c r="A80" s="4" t="s">
        <v>99</v>
      </c>
      <c r="B80" s="4" t="s">
        <v>100</v>
      </c>
      <c r="C80" s="9" t="s">
        <v>124</v>
      </c>
      <c r="D80" s="10" t="s">
        <v>245</v>
      </c>
      <c r="E80" s="11">
        <v>4</v>
      </c>
      <c r="F80" s="12" t="str">
        <f t="shared" si="2"/>
        <v>Controlled</v>
      </c>
      <c r="G80" s="13"/>
      <c r="H80" s="11"/>
      <c r="I80" s="11"/>
      <c r="J80" s="13"/>
    </row>
    <row r="81" spans="1:10" ht="34.049999999999997" customHeight="1" x14ac:dyDescent="0.45">
      <c r="A81" s="4" t="s">
        <v>102</v>
      </c>
      <c r="B81" s="4" t="s">
        <v>100</v>
      </c>
      <c r="C81" s="9" t="s">
        <v>124</v>
      </c>
      <c r="D81" s="10" t="s">
        <v>246</v>
      </c>
      <c r="E81" s="11">
        <v>4</v>
      </c>
      <c r="F81" s="12" t="str">
        <f t="shared" ref="F81:F91" si="3">IF(E81="","",IF(E81=1,"Critical",IF(E81=2,"Weak",IF(E81=3,"At Risk",IF(E81=4,"Controlled","Strong")))))</f>
        <v>Controlled</v>
      </c>
      <c r="G81" s="13"/>
      <c r="H81" s="11"/>
      <c r="I81" s="11"/>
      <c r="J81" s="13"/>
    </row>
    <row r="82" spans="1:10" ht="34.049999999999997" customHeight="1" x14ac:dyDescent="0.45">
      <c r="A82" s="4" t="s">
        <v>247</v>
      </c>
      <c r="B82" s="4" t="s">
        <v>100</v>
      </c>
      <c r="C82" s="9" t="s">
        <v>124</v>
      </c>
      <c r="D82" s="10" t="s">
        <v>248</v>
      </c>
      <c r="E82" s="11">
        <v>4</v>
      </c>
      <c r="F82" s="12" t="str">
        <f t="shared" si="3"/>
        <v>Controlled</v>
      </c>
      <c r="G82" s="13"/>
      <c r="H82" s="11"/>
      <c r="I82" s="11"/>
      <c r="J82" s="13"/>
    </row>
    <row r="83" spans="1:10" ht="34.049999999999997" customHeight="1" x14ac:dyDescent="0.45">
      <c r="A83" s="4" t="s">
        <v>249</v>
      </c>
      <c r="B83" s="4" t="s">
        <v>100</v>
      </c>
      <c r="C83" s="9" t="s">
        <v>124</v>
      </c>
      <c r="D83" s="10" t="s">
        <v>250</v>
      </c>
      <c r="E83" s="11">
        <v>2</v>
      </c>
      <c r="F83" s="12" t="str">
        <f t="shared" si="3"/>
        <v>Weak</v>
      </c>
      <c r="G83" s="13"/>
      <c r="H83" s="11"/>
      <c r="I83" s="11"/>
      <c r="J83" s="13"/>
    </row>
    <row r="84" spans="1:10" ht="34.049999999999997" customHeight="1" x14ac:dyDescent="0.45">
      <c r="A84" s="4" t="s">
        <v>251</v>
      </c>
      <c r="B84" s="4" t="s">
        <v>100</v>
      </c>
      <c r="C84" s="9" t="s">
        <v>124</v>
      </c>
      <c r="D84" s="10" t="s">
        <v>252</v>
      </c>
      <c r="E84" s="11">
        <v>2</v>
      </c>
      <c r="F84" s="12" t="str">
        <f t="shared" si="3"/>
        <v>Weak</v>
      </c>
      <c r="G84" s="13"/>
      <c r="H84" s="11"/>
      <c r="I84" s="11"/>
      <c r="J84" s="13"/>
    </row>
    <row r="85" spans="1:10" ht="34.049999999999997" customHeight="1" x14ac:dyDescent="0.45">
      <c r="A85" s="4" t="s">
        <v>253</v>
      </c>
      <c r="B85" s="4" t="s">
        <v>100</v>
      </c>
      <c r="C85" s="9" t="s">
        <v>124</v>
      </c>
      <c r="D85" s="10" t="s">
        <v>254</v>
      </c>
      <c r="E85" s="11">
        <v>2</v>
      </c>
      <c r="F85" s="12" t="str">
        <f t="shared" si="3"/>
        <v>Weak</v>
      </c>
      <c r="G85" s="13"/>
      <c r="H85" s="11"/>
      <c r="I85" s="11"/>
      <c r="J85" s="13"/>
    </row>
    <row r="86" spans="1:10" ht="34.049999999999997" customHeight="1" x14ac:dyDescent="0.45">
      <c r="A86" s="4" t="s">
        <v>255</v>
      </c>
      <c r="B86" s="4" t="s">
        <v>100</v>
      </c>
      <c r="C86" s="9" t="s">
        <v>124</v>
      </c>
      <c r="D86" s="10" t="s">
        <v>256</v>
      </c>
      <c r="E86" s="11">
        <v>2</v>
      </c>
      <c r="F86" s="12" t="str">
        <f t="shared" si="3"/>
        <v>Weak</v>
      </c>
      <c r="G86" s="13"/>
      <c r="H86" s="11"/>
      <c r="I86" s="11"/>
      <c r="J86" s="13"/>
    </row>
    <row r="87" spans="1:10" ht="34.049999999999997" customHeight="1" x14ac:dyDescent="0.45">
      <c r="A87" s="4" t="s">
        <v>104</v>
      </c>
      <c r="B87" s="4" t="s">
        <v>105</v>
      </c>
      <c r="C87" s="9" t="s">
        <v>129</v>
      </c>
      <c r="D87" s="10" t="s">
        <v>257</v>
      </c>
      <c r="E87" s="11">
        <v>2</v>
      </c>
      <c r="F87" s="12" t="str">
        <f t="shared" si="3"/>
        <v>Weak</v>
      </c>
      <c r="G87" s="13"/>
      <c r="H87" s="11"/>
      <c r="I87" s="11"/>
      <c r="J87" s="13"/>
    </row>
    <row r="88" spans="1:10" ht="34.049999999999997" customHeight="1" x14ac:dyDescent="0.45">
      <c r="A88" s="4" t="s">
        <v>107</v>
      </c>
      <c r="B88" s="4" t="s">
        <v>105</v>
      </c>
      <c r="C88" s="9" t="s">
        <v>129</v>
      </c>
      <c r="D88" s="10" t="s">
        <v>258</v>
      </c>
      <c r="E88" s="11">
        <v>2</v>
      </c>
      <c r="F88" s="12" t="str">
        <f t="shared" si="3"/>
        <v>Weak</v>
      </c>
      <c r="G88" s="13"/>
      <c r="H88" s="11"/>
      <c r="I88" s="11"/>
      <c r="J88" s="13"/>
    </row>
    <row r="89" spans="1:10" ht="34.049999999999997" customHeight="1" x14ac:dyDescent="0.45">
      <c r="A89" s="4" t="s">
        <v>259</v>
      </c>
      <c r="B89" s="4" t="s">
        <v>105</v>
      </c>
      <c r="C89" s="9" t="s">
        <v>129</v>
      </c>
      <c r="D89" s="10" t="s">
        <v>260</v>
      </c>
      <c r="E89" s="11">
        <v>2</v>
      </c>
      <c r="F89" s="12" t="str">
        <f t="shared" si="3"/>
        <v>Weak</v>
      </c>
      <c r="G89" s="13"/>
      <c r="H89" s="11"/>
      <c r="I89" s="11"/>
      <c r="J89" s="13"/>
    </row>
    <row r="90" spans="1:10" ht="34.049999999999997" customHeight="1" x14ac:dyDescent="0.45">
      <c r="A90" s="4" t="s">
        <v>261</v>
      </c>
      <c r="B90" s="4" t="s">
        <v>105</v>
      </c>
      <c r="C90" s="9" t="s">
        <v>129</v>
      </c>
      <c r="D90" s="10" t="s">
        <v>262</v>
      </c>
      <c r="E90" s="11">
        <v>2</v>
      </c>
      <c r="F90" s="12" t="str">
        <f t="shared" si="3"/>
        <v>Weak</v>
      </c>
      <c r="G90" s="13"/>
      <c r="H90" s="11"/>
      <c r="I90" s="11"/>
      <c r="J90" s="13"/>
    </row>
    <row r="91" spans="1:10" ht="34.049999999999997" customHeight="1" x14ac:dyDescent="0.45">
      <c r="A91" s="4" t="s">
        <v>263</v>
      </c>
      <c r="B91" s="4" t="s">
        <v>105</v>
      </c>
      <c r="C91" s="9" t="s">
        <v>129</v>
      </c>
      <c r="D91" s="10" t="s">
        <v>264</v>
      </c>
      <c r="E91" s="11">
        <v>2</v>
      </c>
      <c r="F91" s="12" t="str">
        <f t="shared" si="3"/>
        <v>Weak</v>
      </c>
      <c r="G91" s="13"/>
      <c r="H91" s="11"/>
      <c r="I91" s="11"/>
      <c r="J91" s="13"/>
    </row>
  </sheetData>
  <autoFilter ref="A16:J91" xr:uid="{00000000-0009-0000-0000-000003000000}"/>
  <mergeCells count="10">
    <mergeCell ref="L21:M21"/>
    <mergeCell ref="L6:M6"/>
    <mergeCell ref="L20:M20"/>
    <mergeCell ref="K4:M4"/>
    <mergeCell ref="B13:E13"/>
    <mergeCell ref="A2:N2"/>
    <mergeCell ref="K18:M18"/>
    <mergeCell ref="L5:M5"/>
    <mergeCell ref="L19:M19"/>
    <mergeCell ref="A1:N1"/>
  </mergeCells>
  <conditionalFormatting sqref="E17:E91">
    <cfRule type="cellIs" dxfId="79" priority="1" operator="equal">
      <formula>1</formula>
    </cfRule>
    <cfRule type="cellIs" dxfId="78" priority="2" operator="equal">
      <formula>2</formula>
    </cfRule>
    <cfRule type="cellIs" dxfId="77" priority="3" operator="equal">
      <formula>3</formula>
    </cfRule>
    <cfRule type="cellIs" dxfId="76" priority="4" operator="equal">
      <formula>4</formula>
    </cfRule>
    <cfRule type="cellIs" dxfId="75" priority="5" operator="equal">
      <formula>5</formula>
    </cfRule>
  </conditionalFormatting>
  <conditionalFormatting sqref="L6">
    <cfRule type="cellIs" dxfId="74" priority="6" operator="equal">
      <formula>"Red"</formula>
    </cfRule>
    <cfRule type="cellIs" dxfId="73" priority="7" operator="equal">
      <formula>"Amber"</formula>
    </cfRule>
    <cfRule type="cellIs" dxfId="72" priority="8" operator="equal">
      <formula>"Green"</formula>
    </cfRule>
  </conditionalFormatting>
  <conditionalFormatting sqref="L8:L16">
    <cfRule type="cellIs" dxfId="71" priority="9" operator="equal">
      <formula>1</formula>
    </cfRule>
    <cfRule type="cellIs" dxfId="70" priority="10" operator="equal">
      <formula>2</formula>
    </cfRule>
    <cfRule type="cellIs" dxfId="69" priority="11" operator="equal">
      <formula>3</formula>
    </cfRule>
    <cfRule type="cellIs" dxfId="68" priority="12" operator="equal">
      <formula>4</formula>
    </cfRule>
    <cfRule type="cellIs" dxfId="67" priority="13" operator="equal">
      <formula>5</formula>
    </cfRule>
  </conditionalFormatting>
  <conditionalFormatting sqref="M8:M16">
    <cfRule type="cellIs" dxfId="66" priority="14" operator="equal">
      <formula>"Red"</formula>
    </cfRule>
    <cfRule type="cellIs" dxfId="65" priority="15" operator="equal">
      <formula>"Amber"</formula>
    </cfRule>
    <cfRule type="cellIs" dxfId="64" priority="16" operator="equal">
      <formula>"Green"</formula>
    </cfRule>
  </conditionalFormatting>
  <dataValidations count="5">
    <dataValidation type="list" allowBlank="1" prompt="1=Critical, 2=Weak, 3=At Risk, 4=Controlled, 5=Strong" sqref="E17:E91" xr:uid="{00000000-0002-0000-0300-000000000000}">
      <formula1>"1,2,3,4,5"</formula1>
    </dataValidation>
    <dataValidation type="list" allowBlank="1" sqref="H17:H91" xr:uid="{00000000-0002-0000-0300-000001000000}">
      <formula1>"interview,document,observation,workshop,system_data"</formula1>
    </dataValidation>
    <dataValidation type="list" allowBlank="1" sqref="I17:I91" xr:uid="{00000000-0002-0000-0300-000002000000}">
      <formula1>"low,medium,high"</formula1>
    </dataValidation>
    <dataValidation type="list" allowBlank="1" sqref="B7" xr:uid="{00000000-0002-0000-0300-000003000000}">
      <formula1>"ERP,CRM,Finance Transformation,Digital Transformation,Data Programme,Service Transformation,Other"</formula1>
    </dataValidation>
    <dataValidation type="list" allowBlank="1" sqref="B8" xr:uid="{00000000-0002-0000-0300-000004000000}">
      <formula1>"Discovery,Design,Build,Testing,Cutover Preparation,Go-Live,Hypercare,BAU Transition,Recovery"</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6"/>
  <sheetViews>
    <sheetView showGridLines="0" workbookViewId="0">
      <pane ySplit="14" topLeftCell="A31" activePane="bottomLeft" state="frozen"/>
      <selection pane="bottomLeft" activeCell="A14" sqref="A14:G36"/>
    </sheetView>
  </sheetViews>
  <sheetFormatPr defaultRowHeight="14.25" x14ac:dyDescent="0.45"/>
  <cols>
    <col min="1" max="1" width="13" customWidth="1"/>
    <col min="2" max="2" width="10" customWidth="1"/>
    <col min="3" max="3" width="24" customWidth="1"/>
    <col min="4" max="4" width="60" customWidth="1"/>
    <col min="5" max="5" width="10" customWidth="1"/>
    <col min="6" max="6" width="14" customWidth="1"/>
    <col min="7" max="7" width="36" customWidth="1"/>
    <col min="8" max="8" width="16" customWidth="1"/>
    <col min="9" max="9" width="12" customWidth="1"/>
    <col min="10" max="10" width="30" customWidth="1"/>
    <col min="11" max="14" width="14" customWidth="1"/>
  </cols>
  <sheetData>
    <row r="1" spans="1:12" ht="24" customHeight="1" x14ac:dyDescent="0.45">
      <c r="A1" s="14" t="s">
        <v>265</v>
      </c>
      <c r="B1" s="15"/>
      <c r="C1" s="15"/>
      <c r="D1" s="15"/>
      <c r="E1" s="15"/>
      <c r="F1" s="15"/>
      <c r="G1" s="15"/>
      <c r="H1" s="15"/>
      <c r="I1" s="15"/>
      <c r="J1" s="15"/>
      <c r="K1" s="15"/>
      <c r="L1" s="15"/>
    </row>
    <row r="2" spans="1:12" ht="26" customHeight="1" x14ac:dyDescent="0.45">
      <c r="A2" s="19" t="s">
        <v>266</v>
      </c>
      <c r="B2" s="15"/>
      <c r="C2" s="15"/>
      <c r="D2" s="15"/>
      <c r="E2" s="15"/>
      <c r="F2" s="15"/>
      <c r="G2" s="15"/>
      <c r="H2" s="15"/>
      <c r="I2" s="15"/>
      <c r="J2" s="15"/>
      <c r="K2" s="15"/>
      <c r="L2" s="15"/>
    </row>
    <row r="4" spans="1:12" x14ac:dyDescent="0.45">
      <c r="A4" s="1" t="s">
        <v>33</v>
      </c>
      <c r="B4" s="5"/>
      <c r="J4" s="16" t="s">
        <v>34</v>
      </c>
      <c r="K4" s="15"/>
      <c r="L4" s="15"/>
    </row>
    <row r="5" spans="1:12" x14ac:dyDescent="0.45">
      <c r="A5" s="1" t="s">
        <v>35</v>
      </c>
      <c r="B5" s="5"/>
      <c r="J5" s="1" t="s">
        <v>36</v>
      </c>
      <c r="K5" s="20" t="str">
        <f>IF(COUNT(E15:E36)=0,"",ROUND(AVERAGE(E15:E36),2))</f>
        <v/>
      </c>
      <c r="L5" s="18"/>
    </row>
    <row r="6" spans="1:12" x14ac:dyDescent="0.45">
      <c r="A6" s="1" t="s">
        <v>37</v>
      </c>
      <c r="B6" s="5"/>
      <c r="J6" s="1" t="s">
        <v>38</v>
      </c>
      <c r="K6" s="20" t="str">
        <f>IF(K5="","",IF(K5&lt;2.5,"Red",IF(K5&lt;3.8,"Amber","Green")))</f>
        <v/>
      </c>
      <c r="L6" s="18"/>
    </row>
    <row r="7" spans="1:12" x14ac:dyDescent="0.45">
      <c r="A7" s="1" t="s">
        <v>267</v>
      </c>
      <c r="B7" s="5"/>
      <c r="J7" s="7" t="s">
        <v>40</v>
      </c>
      <c r="K7" s="7" t="s">
        <v>16</v>
      </c>
      <c r="L7" s="7" t="s">
        <v>41</v>
      </c>
    </row>
    <row r="8" spans="1:12" x14ac:dyDescent="0.45">
      <c r="A8" s="1" t="s">
        <v>268</v>
      </c>
      <c r="B8" s="5"/>
      <c r="J8" s="1" t="s">
        <v>269</v>
      </c>
      <c r="K8" s="6" t="str">
        <f>IF(COUNTIFS($B$15:$B$36,"P1",$E$15:$E$36,"&gt;0")=0,"",ROUND(SUMIF($B$15:$B$36,"P1",$E$15:$E$36)/COUNTIFS($B$15:$B$36,"P1",$E$15:$E$36,"&gt;0"),2))</f>
        <v/>
      </c>
      <c r="L8" s="6" t="str">
        <f t="shared" ref="L8:L18" si="0">IF(K8="","",IF(K8&lt;2.5,"Red",IF(K8&lt;3.8,"Amber","Green")))</f>
        <v/>
      </c>
    </row>
    <row r="9" spans="1:12" x14ac:dyDescent="0.45">
      <c r="A9" s="1" t="s">
        <v>270</v>
      </c>
      <c r="B9" s="5"/>
      <c r="J9" s="1" t="s">
        <v>271</v>
      </c>
      <c r="K9" s="6" t="str">
        <f>IF(COUNTIFS($B$15:$B$36,"P2",$E$15:$E$36,"&gt;0")=0,"",ROUND(SUMIF($B$15:$B$36,"P2",$E$15:$E$36)/COUNTIFS($B$15:$B$36,"P2",$E$15:$E$36,"&gt;0"),2))</f>
        <v/>
      </c>
      <c r="L9" s="6" t="str">
        <f t="shared" si="0"/>
        <v/>
      </c>
    </row>
    <row r="10" spans="1:12" x14ac:dyDescent="0.45">
      <c r="A10" s="1" t="s">
        <v>46</v>
      </c>
      <c r="B10" s="5"/>
      <c r="J10" s="1" t="s">
        <v>272</v>
      </c>
      <c r="K10" s="6" t="str">
        <f>IF(COUNTIFS($B$15:$B$36,"P3",$E$15:$E$36,"&gt;0")=0,"",ROUND(SUMIF($B$15:$B$36,"P3",$E$15:$E$36)/COUNTIFS($B$15:$B$36,"P3",$E$15:$E$36,"&gt;0"),2))</f>
        <v/>
      </c>
      <c r="L10" s="6" t="str">
        <f t="shared" si="0"/>
        <v/>
      </c>
    </row>
    <row r="11" spans="1:12" x14ac:dyDescent="0.45">
      <c r="A11" s="1" t="s">
        <v>48</v>
      </c>
      <c r="B11" s="21" t="s">
        <v>49</v>
      </c>
      <c r="C11" s="22"/>
      <c r="D11" s="22"/>
      <c r="E11" s="18"/>
      <c r="J11" s="1" t="s">
        <v>273</v>
      </c>
      <c r="K11" s="6" t="str">
        <f>IF(COUNTIFS($B$15:$B$36,"P4",$E$15:$E$36,"&gt;0")=0,"",ROUND(SUMIF($B$15:$B$36,"P4",$E$15:$E$36)/COUNTIFS($B$15:$B$36,"P4",$E$15:$E$36,"&gt;0"),2))</f>
        <v/>
      </c>
      <c r="L11" s="6" t="str">
        <f t="shared" si="0"/>
        <v/>
      </c>
    </row>
    <row r="12" spans="1:12" x14ac:dyDescent="0.45">
      <c r="J12" s="1" t="s">
        <v>274</v>
      </c>
      <c r="K12" s="6" t="str">
        <f>IF(COUNTIFS($B$15:$B$36,"P5",$E$15:$E$36,"&gt;0")=0,"",ROUND(SUMIF($B$15:$B$36,"P5",$E$15:$E$36)/COUNTIFS($B$15:$B$36,"P5",$E$15:$E$36,"&gt;0"),2))</f>
        <v/>
      </c>
      <c r="L12" s="6" t="str">
        <f t="shared" si="0"/>
        <v/>
      </c>
    </row>
    <row r="13" spans="1:12" x14ac:dyDescent="0.45">
      <c r="J13" s="1" t="s">
        <v>275</v>
      </c>
      <c r="K13" s="6" t="str">
        <f>IF(COUNTIFS($B$15:$B$36,"P6",$E$15:$E$36,"&gt;0")=0,"",ROUND(SUMIF($B$15:$B$36,"P6",$E$15:$E$36)/COUNTIFS($B$15:$B$36,"P6",$E$15:$E$36,"&gt;0"),2))</f>
        <v/>
      </c>
      <c r="L13" s="6" t="str">
        <f t="shared" si="0"/>
        <v/>
      </c>
    </row>
    <row r="14" spans="1:12" x14ac:dyDescent="0.45">
      <c r="A14" s="7" t="s">
        <v>53</v>
      </c>
      <c r="B14" s="7" t="s">
        <v>54</v>
      </c>
      <c r="C14" s="7" t="s">
        <v>55</v>
      </c>
      <c r="D14" s="7" t="s">
        <v>56</v>
      </c>
      <c r="E14" s="7" t="s">
        <v>16</v>
      </c>
      <c r="F14" s="7" t="s">
        <v>57</v>
      </c>
      <c r="G14" s="7" t="s">
        <v>58</v>
      </c>
      <c r="J14" s="1" t="s">
        <v>276</v>
      </c>
      <c r="K14" s="6" t="str">
        <f>IF(COUNTIFS($B$15:$B$36,"P7",$E$15:$E$36,"&gt;0")=0,"",ROUND(SUMIF($B$15:$B$36,"P7",$E$15:$E$36)/COUNTIFS($B$15:$B$36,"P7",$E$15:$E$36,"&gt;0"),2))</f>
        <v/>
      </c>
      <c r="L14" s="6" t="str">
        <f t="shared" si="0"/>
        <v/>
      </c>
    </row>
    <row r="15" spans="1:12" ht="30" customHeight="1" x14ac:dyDescent="0.45">
      <c r="A15" s="4" t="s">
        <v>60</v>
      </c>
      <c r="B15" s="4" t="s">
        <v>61</v>
      </c>
      <c r="C15" s="9" t="s">
        <v>269</v>
      </c>
      <c r="D15" s="10" t="s">
        <v>277</v>
      </c>
      <c r="E15" s="11"/>
      <c r="F15" s="12" t="str">
        <f t="shared" ref="F15:F36" si="1">IF(E15="","",IF(E15=1,"Critical",IF(E15=2,"Weak",IF(E15=3,"At Risk",IF(E15=4,"Controlled","Strong")))))</f>
        <v/>
      </c>
      <c r="G15" s="13"/>
      <c r="J15" s="1" t="s">
        <v>278</v>
      </c>
      <c r="K15" s="6" t="str">
        <f>IF(COUNTIFS($B$15:$B$36,"P8",$E$15:$E$36,"&gt;0")=0,"",ROUND(SUMIF($B$15:$B$36,"P8",$E$15:$E$36)/COUNTIFS($B$15:$B$36,"P8",$E$15:$E$36,"&gt;0"),2))</f>
        <v/>
      </c>
      <c r="L15" s="6" t="str">
        <f t="shared" si="0"/>
        <v/>
      </c>
    </row>
    <row r="16" spans="1:12" ht="30" customHeight="1" x14ac:dyDescent="0.45">
      <c r="A16" s="4" t="s">
        <v>64</v>
      </c>
      <c r="B16" s="4" t="s">
        <v>61</v>
      </c>
      <c r="C16" s="9" t="s">
        <v>269</v>
      </c>
      <c r="D16" s="10" t="s">
        <v>279</v>
      </c>
      <c r="E16" s="11"/>
      <c r="F16" s="12" t="str">
        <f t="shared" si="1"/>
        <v/>
      </c>
      <c r="G16" s="13"/>
      <c r="J16" s="1" t="s">
        <v>280</v>
      </c>
      <c r="K16" s="6" t="str">
        <f>IF(COUNTIFS($B$15:$B$36,"P9",$E$15:$E$36,"&gt;0")=0,"",ROUND(SUMIF($B$15:$B$36,"P9",$E$15:$E$36)/COUNTIFS($B$15:$B$36,"P9",$E$15:$E$36,"&gt;0"),2))</f>
        <v/>
      </c>
      <c r="L16" s="6" t="str">
        <f t="shared" si="0"/>
        <v/>
      </c>
    </row>
    <row r="17" spans="1:12" ht="30" customHeight="1" x14ac:dyDescent="0.45">
      <c r="A17" s="4" t="s">
        <v>67</v>
      </c>
      <c r="B17" s="4" t="s">
        <v>68</v>
      </c>
      <c r="C17" s="9" t="s">
        <v>271</v>
      </c>
      <c r="D17" s="10" t="s">
        <v>281</v>
      </c>
      <c r="E17" s="11"/>
      <c r="F17" s="12" t="str">
        <f t="shared" si="1"/>
        <v/>
      </c>
      <c r="G17" s="13"/>
      <c r="J17" s="1" t="s">
        <v>282</v>
      </c>
      <c r="K17" s="6" t="str">
        <f>IF(COUNTIFS($B$15:$B$36,"P10",$E$15:$E$36,"&gt;0")=0,"",ROUND(SUMIF($B$15:$B$36,"P10",$E$15:$E$36)/COUNTIFS($B$15:$B$36,"P10",$E$15:$E$36,"&gt;0"),2))</f>
        <v/>
      </c>
      <c r="L17" s="6" t="str">
        <f t="shared" si="0"/>
        <v/>
      </c>
    </row>
    <row r="18" spans="1:12" ht="30" customHeight="1" x14ac:dyDescent="0.45">
      <c r="A18" s="4" t="s">
        <v>70</v>
      </c>
      <c r="B18" s="4" t="s">
        <v>68</v>
      </c>
      <c r="C18" s="9" t="s">
        <v>271</v>
      </c>
      <c r="D18" s="10" t="s">
        <v>283</v>
      </c>
      <c r="E18" s="11"/>
      <c r="F18" s="12" t="str">
        <f t="shared" si="1"/>
        <v/>
      </c>
      <c r="G18" s="13"/>
      <c r="J18" s="1" t="s">
        <v>284</v>
      </c>
      <c r="K18" s="6" t="str">
        <f>IF(COUNTIFS($B$15:$B$36,"P11",$E$15:$E$36,"&gt;0")=0,"",ROUND(SUMIF($B$15:$B$36,"P11",$E$15:$E$36)/COUNTIFS($B$15:$B$36,"P11",$E$15:$E$36,"&gt;0"),2))</f>
        <v/>
      </c>
      <c r="L18" s="6" t="str">
        <f t="shared" si="0"/>
        <v/>
      </c>
    </row>
    <row r="19" spans="1:12" ht="30" customHeight="1" x14ac:dyDescent="0.45">
      <c r="A19" s="4" t="s">
        <v>73</v>
      </c>
      <c r="B19" s="4" t="s">
        <v>74</v>
      </c>
      <c r="C19" s="9" t="s">
        <v>272</v>
      </c>
      <c r="D19" s="10" t="s">
        <v>285</v>
      </c>
      <c r="E19" s="11"/>
      <c r="F19" s="12" t="str">
        <f t="shared" si="1"/>
        <v/>
      </c>
      <c r="G19" s="13"/>
    </row>
    <row r="20" spans="1:12" ht="30" customHeight="1" x14ac:dyDescent="0.45">
      <c r="A20" s="4" t="s">
        <v>77</v>
      </c>
      <c r="B20" s="4" t="s">
        <v>74</v>
      </c>
      <c r="C20" s="9" t="s">
        <v>272</v>
      </c>
      <c r="D20" s="10" t="s">
        <v>286</v>
      </c>
      <c r="E20" s="11"/>
      <c r="F20" s="12" t="str">
        <f t="shared" si="1"/>
        <v/>
      </c>
      <c r="G20" s="13"/>
      <c r="J20" s="16" t="s">
        <v>72</v>
      </c>
      <c r="K20" s="15"/>
      <c r="L20" s="15"/>
    </row>
    <row r="21" spans="1:12" ht="30" customHeight="1" x14ac:dyDescent="0.45">
      <c r="A21" s="4" t="s">
        <v>79</v>
      </c>
      <c r="B21" s="4" t="s">
        <v>80</v>
      </c>
      <c r="C21" s="9" t="s">
        <v>273</v>
      </c>
      <c r="D21" s="10" t="s">
        <v>287</v>
      </c>
      <c r="E21" s="11"/>
      <c r="F21" s="12" t="str">
        <f t="shared" si="1"/>
        <v/>
      </c>
      <c r="G21" s="13"/>
      <c r="J21" s="1" t="s">
        <v>288</v>
      </c>
      <c r="K21" s="23" t="str">
        <f>IF(COUNT(E15:E36)=0,"",ROUND(AVERAGE(E17:E24),2))</f>
        <v/>
      </c>
      <c r="L21" s="18"/>
    </row>
    <row r="22" spans="1:12" ht="30" customHeight="1" x14ac:dyDescent="0.45">
      <c r="A22" s="4" t="s">
        <v>82</v>
      </c>
      <c r="B22" s="4" t="s">
        <v>80</v>
      </c>
      <c r="C22" s="9" t="s">
        <v>273</v>
      </c>
      <c r="D22" s="10" t="s">
        <v>289</v>
      </c>
      <c r="E22" s="11"/>
      <c r="F22" s="12" t="str">
        <f t="shared" si="1"/>
        <v/>
      </c>
      <c r="G22" s="13"/>
      <c r="J22" s="1" t="s">
        <v>290</v>
      </c>
      <c r="K22" s="23" t="str">
        <f>IF(COUNT(E15:E36)=0,"",ROUND(AVERAGE(E15:E16,E25:E26,E35:E36),2))</f>
        <v/>
      </c>
      <c r="L22" s="18"/>
    </row>
    <row r="23" spans="1:12" ht="30" customHeight="1" x14ac:dyDescent="0.45">
      <c r="A23" s="4" t="s">
        <v>84</v>
      </c>
      <c r="B23" s="4" t="s">
        <v>85</v>
      </c>
      <c r="C23" s="9" t="s">
        <v>274</v>
      </c>
      <c r="D23" s="10" t="s">
        <v>291</v>
      </c>
      <c r="E23" s="11"/>
      <c r="F23" s="12" t="str">
        <f t="shared" si="1"/>
        <v/>
      </c>
      <c r="G23" s="13"/>
      <c r="J23" s="1" t="s">
        <v>292</v>
      </c>
      <c r="K23" s="23" t="str">
        <f>IF(COUNT(E15:E36)=0,"",ROUND(AVERAGE(E27:E30),2))</f>
        <v/>
      </c>
      <c r="L23" s="18"/>
    </row>
    <row r="24" spans="1:12" ht="30" customHeight="1" x14ac:dyDescent="0.45">
      <c r="A24" s="4" t="s">
        <v>87</v>
      </c>
      <c r="B24" s="4" t="s">
        <v>85</v>
      </c>
      <c r="C24" s="9" t="s">
        <v>274</v>
      </c>
      <c r="D24" s="10" t="s">
        <v>293</v>
      </c>
      <c r="E24" s="11"/>
      <c r="F24" s="12" t="str">
        <f t="shared" si="1"/>
        <v/>
      </c>
      <c r="G24" s="13"/>
      <c r="J24" s="1" t="s">
        <v>76</v>
      </c>
      <c r="K24" s="23" t="str">
        <f>IF(K5="","",IF(OR(K5&lt;3,K9&lt;3,K12&lt;3,K14&lt;3,K17&lt;3,IFERROR(SEARCH("outage",$B$10),0)&gt;0,IFERROR(SEARCH("instability",$B$10),0)&gt;0,IFERROR(SEARCH("backlog",$B$10),0)&gt;0,IFERROR(SEARCH("vendor",$B$10),0)&gt;0,IFERROR(SEARCH("sla",$B$10),0)&gt;0),"High",IF(K5&lt;3.8,"Medium","Low")))</f>
        <v/>
      </c>
      <c r="L24" s="18"/>
    </row>
    <row r="25" spans="1:12" ht="30" customHeight="1" x14ac:dyDescent="0.45">
      <c r="A25" s="4" t="s">
        <v>89</v>
      </c>
      <c r="B25" s="4" t="s">
        <v>90</v>
      </c>
      <c r="C25" s="9" t="s">
        <v>275</v>
      </c>
      <c r="D25" s="10" t="s">
        <v>294</v>
      </c>
      <c r="E25" s="11"/>
      <c r="F25" s="12" t="str">
        <f t="shared" si="1"/>
        <v/>
      </c>
      <c r="G25" s="13"/>
    </row>
    <row r="26" spans="1:12" ht="30" customHeight="1" x14ac:dyDescent="0.45">
      <c r="A26" s="4" t="s">
        <v>92</v>
      </c>
      <c r="B26" s="4" t="s">
        <v>90</v>
      </c>
      <c r="C26" s="9" t="s">
        <v>275</v>
      </c>
      <c r="D26" s="10" t="s">
        <v>295</v>
      </c>
      <c r="E26" s="11"/>
      <c r="F26" s="12" t="str">
        <f t="shared" si="1"/>
        <v/>
      </c>
      <c r="G26" s="13"/>
    </row>
    <row r="27" spans="1:12" ht="30" customHeight="1" x14ac:dyDescent="0.45">
      <c r="A27" s="4" t="s">
        <v>94</v>
      </c>
      <c r="B27" s="4" t="s">
        <v>95</v>
      </c>
      <c r="C27" s="9" t="s">
        <v>276</v>
      </c>
      <c r="D27" s="10" t="s">
        <v>296</v>
      </c>
      <c r="E27" s="11"/>
      <c r="F27" s="12" t="str">
        <f t="shared" si="1"/>
        <v/>
      </c>
      <c r="G27" s="13"/>
    </row>
    <row r="28" spans="1:12" ht="30" customHeight="1" x14ac:dyDescent="0.45">
      <c r="A28" s="4" t="s">
        <v>97</v>
      </c>
      <c r="B28" s="4" t="s">
        <v>95</v>
      </c>
      <c r="C28" s="9" t="s">
        <v>276</v>
      </c>
      <c r="D28" s="10" t="s">
        <v>297</v>
      </c>
      <c r="E28" s="11"/>
      <c r="F28" s="12" t="str">
        <f t="shared" si="1"/>
        <v/>
      </c>
      <c r="G28" s="13"/>
    </row>
    <row r="29" spans="1:12" ht="30" customHeight="1" x14ac:dyDescent="0.45">
      <c r="A29" s="4" t="s">
        <v>99</v>
      </c>
      <c r="B29" s="4" t="s">
        <v>100</v>
      </c>
      <c r="C29" s="9" t="s">
        <v>278</v>
      </c>
      <c r="D29" s="10" t="s">
        <v>298</v>
      </c>
      <c r="E29" s="11"/>
      <c r="F29" s="12" t="str">
        <f t="shared" si="1"/>
        <v/>
      </c>
      <c r="G29" s="13"/>
    </row>
    <row r="30" spans="1:12" ht="30" customHeight="1" x14ac:dyDescent="0.45">
      <c r="A30" s="4" t="s">
        <v>102</v>
      </c>
      <c r="B30" s="4" t="s">
        <v>100</v>
      </c>
      <c r="C30" s="9" t="s">
        <v>278</v>
      </c>
      <c r="D30" s="10" t="s">
        <v>299</v>
      </c>
      <c r="E30" s="11"/>
      <c r="F30" s="12" t="str">
        <f t="shared" si="1"/>
        <v/>
      </c>
      <c r="G30" s="13"/>
    </row>
    <row r="31" spans="1:12" ht="30" customHeight="1" x14ac:dyDescent="0.45">
      <c r="A31" s="4" t="s">
        <v>104</v>
      </c>
      <c r="B31" s="4" t="s">
        <v>105</v>
      </c>
      <c r="C31" s="9" t="s">
        <v>280</v>
      </c>
      <c r="D31" s="10" t="s">
        <v>300</v>
      </c>
      <c r="E31" s="11"/>
      <c r="F31" s="12" t="str">
        <f t="shared" si="1"/>
        <v/>
      </c>
      <c r="G31" s="13"/>
    </row>
    <row r="32" spans="1:12" ht="30" customHeight="1" x14ac:dyDescent="0.45">
      <c r="A32" s="4" t="s">
        <v>107</v>
      </c>
      <c r="B32" s="4" t="s">
        <v>105</v>
      </c>
      <c r="C32" s="9" t="s">
        <v>280</v>
      </c>
      <c r="D32" s="10" t="s">
        <v>301</v>
      </c>
      <c r="E32" s="11"/>
      <c r="F32" s="12" t="str">
        <f t="shared" si="1"/>
        <v/>
      </c>
      <c r="G32" s="13"/>
    </row>
    <row r="33" spans="1:7" ht="30" customHeight="1" x14ac:dyDescent="0.45">
      <c r="A33" s="4" t="s">
        <v>302</v>
      </c>
      <c r="B33" s="4" t="s">
        <v>303</v>
      </c>
      <c r="C33" s="9" t="s">
        <v>282</v>
      </c>
      <c r="D33" s="10" t="s">
        <v>304</v>
      </c>
      <c r="E33" s="11"/>
      <c r="F33" s="12" t="str">
        <f t="shared" si="1"/>
        <v/>
      </c>
      <c r="G33" s="13"/>
    </row>
    <row r="34" spans="1:7" ht="30" customHeight="1" x14ac:dyDescent="0.45">
      <c r="A34" s="4" t="s">
        <v>305</v>
      </c>
      <c r="B34" s="4" t="s">
        <v>303</v>
      </c>
      <c r="C34" s="9" t="s">
        <v>282</v>
      </c>
      <c r="D34" s="10" t="s">
        <v>306</v>
      </c>
      <c r="E34" s="11"/>
      <c r="F34" s="12" t="str">
        <f t="shared" si="1"/>
        <v/>
      </c>
      <c r="G34" s="13"/>
    </row>
    <row r="35" spans="1:7" ht="30" customHeight="1" x14ac:dyDescent="0.45">
      <c r="A35" s="4" t="s">
        <v>307</v>
      </c>
      <c r="B35" s="4" t="s">
        <v>308</v>
      </c>
      <c r="C35" s="9" t="s">
        <v>284</v>
      </c>
      <c r="D35" s="10" t="s">
        <v>309</v>
      </c>
      <c r="E35" s="11"/>
      <c r="F35" s="12" t="str">
        <f t="shared" si="1"/>
        <v/>
      </c>
      <c r="G35" s="13"/>
    </row>
    <row r="36" spans="1:7" ht="30" customHeight="1" x14ac:dyDescent="0.45">
      <c r="A36" s="4" t="s">
        <v>310</v>
      </c>
      <c r="B36" s="4" t="s">
        <v>308</v>
      </c>
      <c r="C36" s="9" t="s">
        <v>284</v>
      </c>
      <c r="D36" s="10" t="s">
        <v>311</v>
      </c>
      <c r="E36" s="11"/>
      <c r="F36" s="12" t="str">
        <f t="shared" si="1"/>
        <v/>
      </c>
      <c r="G36" s="13"/>
    </row>
  </sheetData>
  <autoFilter ref="A14:G36" xr:uid="{00000000-0009-0000-0000-000004000000}"/>
  <mergeCells count="11">
    <mergeCell ref="A2:L2"/>
    <mergeCell ref="K24:L24"/>
    <mergeCell ref="A1:L1"/>
    <mergeCell ref="K23:L23"/>
    <mergeCell ref="K5:L5"/>
    <mergeCell ref="B11:E11"/>
    <mergeCell ref="J4:L4"/>
    <mergeCell ref="J20:L20"/>
    <mergeCell ref="K6:L6"/>
    <mergeCell ref="K22:L22"/>
    <mergeCell ref="K21:L21"/>
  </mergeCells>
  <conditionalFormatting sqref="E15:E36">
    <cfRule type="cellIs" dxfId="63" priority="1" operator="equal">
      <formula>1</formula>
    </cfRule>
    <cfRule type="cellIs" dxfId="62" priority="2" operator="equal">
      <formula>2</formula>
    </cfRule>
    <cfRule type="cellIs" dxfId="61" priority="3" operator="equal">
      <formula>3</formula>
    </cfRule>
    <cfRule type="cellIs" dxfId="60" priority="4" operator="equal">
      <formula>4</formula>
    </cfRule>
    <cfRule type="cellIs" dxfId="59" priority="5" operator="equal">
      <formula>5</formula>
    </cfRule>
  </conditionalFormatting>
  <conditionalFormatting sqref="K6">
    <cfRule type="cellIs" dxfId="58" priority="6" operator="equal">
      <formula>"Red"</formula>
    </cfRule>
    <cfRule type="cellIs" dxfId="57" priority="7" operator="equal">
      <formula>"Amber"</formula>
    </cfRule>
    <cfRule type="cellIs" dxfId="56" priority="8" operator="equal">
      <formula>"Green"</formula>
    </cfRule>
  </conditionalFormatting>
  <conditionalFormatting sqref="K8:K18">
    <cfRule type="cellIs" dxfId="55" priority="9" operator="equal">
      <formula>1</formula>
    </cfRule>
    <cfRule type="cellIs" dxfId="54" priority="10" operator="equal">
      <formula>2</formula>
    </cfRule>
    <cfRule type="cellIs" dxfId="53" priority="11" operator="equal">
      <formula>3</formula>
    </cfRule>
    <cfRule type="cellIs" dxfId="52" priority="12" operator="equal">
      <formula>4</formula>
    </cfRule>
    <cfRule type="cellIs" dxfId="51" priority="13" operator="equal">
      <formula>5</formula>
    </cfRule>
  </conditionalFormatting>
  <conditionalFormatting sqref="L8:L18">
    <cfRule type="cellIs" dxfId="50" priority="14" operator="equal">
      <formula>"Red"</formula>
    </cfRule>
    <cfRule type="cellIs" dxfId="49" priority="15" operator="equal">
      <formula>"Amber"</formula>
    </cfRule>
    <cfRule type="cellIs" dxfId="48" priority="16" operator="equal">
      <formula>"Green"</formula>
    </cfRule>
  </conditionalFormatting>
  <dataValidations count="3">
    <dataValidation type="list" allowBlank="1" prompt="1=Critical, 2=Weak, 3=At Risk, 4=Controlled, 5=Strong" sqref="E15:E36" xr:uid="{00000000-0002-0000-0400-000000000000}">
      <formula1>"1,2,3,4,5"</formula1>
    </dataValidation>
    <dataValidation type="list" allowBlank="1" sqref="B8" xr:uid="{00000000-0002-0000-0400-000001000000}">
      <formula1>"Internal IT service,Customer-facing platform,ERP support,Infrastructure / hosting,Service desk / workplace services,Application support,Managed service environment,Other"</formula1>
    </dataValidation>
    <dataValidation type="list" allowBlank="1" sqref="B9" xr:uid="{00000000-0002-0000-0400-000002000000}">
      <formula1>"Internal team only,Outsourced service desk,Hybrid internal / vendor,MSP-led,SI-led,Other"</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1"/>
  <sheetViews>
    <sheetView showGridLines="0" workbookViewId="0">
      <pane ySplit="16" topLeftCell="A17" activePane="bottomLeft" state="frozen"/>
      <selection pane="bottomLeft" sqref="A1:N1"/>
    </sheetView>
  </sheetViews>
  <sheetFormatPr defaultRowHeight="14.25" x14ac:dyDescent="0.45"/>
  <cols>
    <col min="1" max="1" width="13" customWidth="1"/>
    <col min="2" max="2" width="10" customWidth="1"/>
    <col min="3" max="3" width="28" customWidth="1"/>
    <col min="4" max="4" width="58" customWidth="1"/>
    <col min="5" max="5" width="10" customWidth="1"/>
    <col min="6" max="6" width="14" customWidth="1"/>
    <col min="7" max="7" width="30" customWidth="1"/>
    <col min="8" max="8" width="16" customWidth="1"/>
    <col min="9" max="9" width="12" customWidth="1"/>
    <col min="10" max="10" width="30" customWidth="1"/>
    <col min="11" max="14" width="14" customWidth="1"/>
  </cols>
  <sheetData>
    <row r="1" spans="1:14" ht="24" customHeight="1" x14ac:dyDescent="0.45">
      <c r="A1" s="14" t="s">
        <v>312</v>
      </c>
      <c r="B1" s="15"/>
      <c r="C1" s="15"/>
      <c r="D1" s="15"/>
      <c r="E1" s="15"/>
      <c r="F1" s="15"/>
      <c r="G1" s="15"/>
      <c r="H1" s="15"/>
      <c r="I1" s="15"/>
      <c r="J1" s="15"/>
      <c r="K1" s="15"/>
      <c r="L1" s="15"/>
      <c r="M1" s="15"/>
      <c r="N1" s="15"/>
    </row>
    <row r="2" spans="1:14" ht="26" customHeight="1" x14ac:dyDescent="0.45">
      <c r="A2" s="19" t="s">
        <v>313</v>
      </c>
      <c r="B2" s="15"/>
      <c r="C2" s="15"/>
      <c r="D2" s="15"/>
      <c r="E2" s="15"/>
      <c r="F2" s="15"/>
      <c r="G2" s="15"/>
      <c r="H2" s="15"/>
      <c r="I2" s="15"/>
      <c r="J2" s="15"/>
      <c r="K2" s="15"/>
      <c r="L2" s="15"/>
      <c r="M2" s="15"/>
      <c r="N2" s="15"/>
    </row>
    <row r="4" spans="1:14" x14ac:dyDescent="0.45">
      <c r="A4" s="1" t="s">
        <v>111</v>
      </c>
      <c r="B4" s="5"/>
      <c r="K4" s="16" t="s">
        <v>34</v>
      </c>
      <c r="L4" s="15"/>
      <c r="M4" s="15"/>
    </row>
    <row r="5" spans="1:14" x14ac:dyDescent="0.45">
      <c r="A5" s="1" t="s">
        <v>112</v>
      </c>
      <c r="B5" s="5"/>
      <c r="K5" s="1" t="s">
        <v>36</v>
      </c>
      <c r="L5" s="20" t="str">
        <f>IF(COUNT(E17:E81)=0,"",ROUND(AVERAGE(E17:E81),2))</f>
        <v/>
      </c>
      <c r="M5" s="18"/>
    </row>
    <row r="6" spans="1:14" x14ac:dyDescent="0.45">
      <c r="A6" s="1" t="s">
        <v>314</v>
      </c>
      <c r="B6" s="5"/>
      <c r="K6" s="1" t="s">
        <v>38</v>
      </c>
      <c r="L6" s="20" t="str">
        <f>IF(L5="","",IF(L5&lt;2.5,"Red",IF(L5&lt;3.8,"Amber","Green")))</f>
        <v/>
      </c>
      <c r="M6" s="18"/>
    </row>
    <row r="7" spans="1:14" x14ac:dyDescent="0.45">
      <c r="A7" s="1" t="s">
        <v>268</v>
      </c>
      <c r="B7" s="5"/>
      <c r="K7" s="7" t="s">
        <v>40</v>
      </c>
      <c r="L7" s="7" t="s">
        <v>16</v>
      </c>
      <c r="M7" s="7" t="s">
        <v>41</v>
      </c>
    </row>
    <row r="8" spans="1:14" x14ac:dyDescent="0.45">
      <c r="A8" s="1" t="s">
        <v>315</v>
      </c>
      <c r="B8" s="5"/>
      <c r="K8" s="1" t="s">
        <v>269</v>
      </c>
      <c r="L8" s="6" t="str">
        <f>IF(COUNTIFS($B$17:$B$81,"P1",$E$17:$E$81,"&gt;0")=0,"",ROUND(SUMIF($B$17:$B$81,"P1",$E$17:$E$81)/COUNTIFS($B$17:$B$81,"P1",$E$17:$E$81,"&gt;0"),2))</f>
        <v/>
      </c>
      <c r="M8" s="6" t="str">
        <f t="shared" ref="M8:M18" si="0">IF(L8="","",IF(L8&lt;2.5,"Red",IF(L8&lt;3.8,"Amber","Green")))</f>
        <v/>
      </c>
    </row>
    <row r="9" spans="1:14" x14ac:dyDescent="0.45">
      <c r="A9" s="1" t="s">
        <v>270</v>
      </c>
      <c r="B9" s="5"/>
      <c r="K9" s="1" t="s">
        <v>271</v>
      </c>
      <c r="L9" s="6" t="str">
        <f>IF(COUNTIFS($B$17:$B$81,"P2",$E$17:$E$81,"&gt;0")=0,"",ROUND(SUMIF($B$17:$B$81,"P2",$E$17:$E$81)/COUNTIFS($B$17:$B$81,"P2",$E$17:$E$81,"&gt;0"),2))</f>
        <v/>
      </c>
      <c r="M9" s="6" t="str">
        <f t="shared" si="0"/>
        <v/>
      </c>
    </row>
    <row r="10" spans="1:14" x14ac:dyDescent="0.45">
      <c r="A10" s="1" t="s">
        <v>316</v>
      </c>
      <c r="B10" s="5"/>
      <c r="K10" s="1" t="s">
        <v>272</v>
      </c>
      <c r="L10" s="6" t="str">
        <f>IF(COUNTIFS($B$17:$B$81,"P3",$E$17:$E$81,"&gt;0")=0,"",ROUND(SUMIF($B$17:$B$81,"P3",$E$17:$E$81)/COUNTIFS($B$17:$B$81,"P3",$E$17:$E$81,"&gt;0"),2))</f>
        <v/>
      </c>
      <c r="M10" s="6" t="str">
        <f t="shared" si="0"/>
        <v/>
      </c>
    </row>
    <row r="11" spans="1:14" x14ac:dyDescent="0.45">
      <c r="A11" s="1" t="s">
        <v>119</v>
      </c>
      <c r="B11" s="5"/>
      <c r="K11" s="1" t="s">
        <v>273</v>
      </c>
      <c r="L11" s="6" t="str">
        <f>IF(COUNTIFS($B$17:$B$81,"P4",$E$17:$E$81,"&gt;0")=0,"",ROUND(SUMIF($B$17:$B$81,"P4",$E$17:$E$81)/COUNTIFS($B$17:$B$81,"P4",$E$17:$E$81,"&gt;0"),2))</f>
        <v/>
      </c>
      <c r="M11" s="6" t="str">
        <f t="shared" si="0"/>
        <v/>
      </c>
    </row>
    <row r="12" spans="1:14" x14ac:dyDescent="0.45">
      <c r="A12" s="1" t="s">
        <v>121</v>
      </c>
      <c r="B12" s="5"/>
      <c r="K12" s="1" t="s">
        <v>274</v>
      </c>
      <c r="L12" s="6" t="str">
        <f>IF(COUNTIFS($B$17:$B$81,"P5",$E$17:$E$81,"&gt;0")=0,"",ROUND(SUMIF($B$17:$B$81,"P5",$E$17:$E$81)/COUNTIFS($B$17:$B$81,"P5",$E$17:$E$81,"&gt;0"),2))</f>
        <v/>
      </c>
      <c r="M12" s="6" t="str">
        <f t="shared" si="0"/>
        <v/>
      </c>
    </row>
    <row r="13" spans="1:14" x14ac:dyDescent="0.45">
      <c r="A13" s="1" t="s">
        <v>48</v>
      </c>
      <c r="B13" s="21" t="s">
        <v>49</v>
      </c>
      <c r="C13" s="22"/>
      <c r="D13" s="22"/>
      <c r="E13" s="18"/>
      <c r="K13" s="1" t="s">
        <v>275</v>
      </c>
      <c r="L13" s="6" t="str">
        <f>IF(COUNTIFS($B$17:$B$81,"P6",$E$17:$E$81,"&gt;0")=0,"",ROUND(SUMIF($B$17:$B$81,"P6",$E$17:$E$81)/COUNTIFS($B$17:$B$81,"P6",$E$17:$E$81,"&gt;0"),2))</f>
        <v/>
      </c>
      <c r="M13" s="6" t="str">
        <f t="shared" si="0"/>
        <v/>
      </c>
    </row>
    <row r="14" spans="1:14" x14ac:dyDescent="0.45">
      <c r="K14" s="1" t="s">
        <v>276</v>
      </c>
      <c r="L14" s="6" t="str">
        <f>IF(COUNTIFS($B$17:$B$81,"P7",$E$17:$E$81,"&gt;0")=0,"",ROUND(SUMIF($B$17:$B$81,"P7",$E$17:$E$81)/COUNTIFS($B$17:$B$81,"P7",$E$17:$E$81,"&gt;0"),2))</f>
        <v/>
      </c>
      <c r="M14" s="6" t="str">
        <f t="shared" si="0"/>
        <v/>
      </c>
    </row>
    <row r="15" spans="1:14" x14ac:dyDescent="0.45">
      <c r="K15" s="1" t="s">
        <v>278</v>
      </c>
      <c r="L15" s="6" t="str">
        <f>IF(COUNTIFS($B$17:$B$81,"P8",$E$17:$E$81,"&gt;0")=0,"",ROUND(SUMIF($B$17:$B$81,"P8",$E$17:$E$81)/COUNTIFS($B$17:$B$81,"P8",$E$17:$E$81,"&gt;0"),2))</f>
        <v/>
      </c>
      <c r="M15" s="6" t="str">
        <f t="shared" si="0"/>
        <v/>
      </c>
    </row>
    <row r="16" spans="1:14" x14ac:dyDescent="0.45">
      <c r="A16" s="7" t="s">
        <v>53</v>
      </c>
      <c r="B16" s="7" t="s">
        <v>54</v>
      </c>
      <c r="C16" s="7" t="s">
        <v>55</v>
      </c>
      <c r="D16" s="7" t="s">
        <v>56</v>
      </c>
      <c r="E16" s="7" t="s">
        <v>16</v>
      </c>
      <c r="F16" s="7" t="s">
        <v>57</v>
      </c>
      <c r="G16" s="7" t="s">
        <v>125</v>
      </c>
      <c r="H16" s="7" t="s">
        <v>126</v>
      </c>
      <c r="I16" s="7" t="s">
        <v>127</v>
      </c>
      <c r="J16" s="7" t="s">
        <v>128</v>
      </c>
      <c r="K16" s="1" t="s">
        <v>280</v>
      </c>
      <c r="L16" s="6" t="str">
        <f>IF(COUNTIFS($B$17:$B$81,"P9",$E$17:$E$81,"&gt;0")=0,"",ROUND(SUMIF($B$17:$B$81,"P9",$E$17:$E$81)/COUNTIFS($B$17:$B$81,"P9",$E$17:$E$81,"&gt;0"),2))</f>
        <v/>
      </c>
      <c r="M16" s="6" t="str">
        <f t="shared" si="0"/>
        <v/>
      </c>
    </row>
    <row r="17" spans="1:13" ht="34.049999999999997" customHeight="1" x14ac:dyDescent="0.45">
      <c r="A17" s="4" t="s">
        <v>60</v>
      </c>
      <c r="B17" s="4" t="s">
        <v>61</v>
      </c>
      <c r="C17" s="9" t="s">
        <v>269</v>
      </c>
      <c r="D17" s="10" t="s">
        <v>317</v>
      </c>
      <c r="E17" s="11"/>
      <c r="F17" s="12" t="str">
        <f t="shared" ref="F17:F48" si="1">IF(E17="","",IF(E17=1,"Critical",IF(E17=2,"Weak",IF(E17=3,"At Risk",IF(E17=4,"Controlled","Strong")))))</f>
        <v/>
      </c>
      <c r="G17" s="13"/>
      <c r="H17" s="11"/>
      <c r="I17" s="11"/>
      <c r="J17" s="13"/>
      <c r="K17" s="1" t="s">
        <v>282</v>
      </c>
      <c r="L17" s="6" t="str">
        <f>IF(COUNTIFS($B$17:$B$81,"P10",$E$17:$E$81,"&gt;0")=0,"",ROUND(SUMIF($B$17:$B$81,"P10",$E$17:$E$81)/COUNTIFS($B$17:$B$81,"P10",$E$17:$E$81,"&gt;0"),2))</f>
        <v/>
      </c>
      <c r="M17" s="6" t="str">
        <f t="shared" si="0"/>
        <v/>
      </c>
    </row>
    <row r="18" spans="1:13" ht="34.049999999999997" customHeight="1" x14ac:dyDescent="0.45">
      <c r="A18" s="4" t="s">
        <v>64</v>
      </c>
      <c r="B18" s="4" t="s">
        <v>61</v>
      </c>
      <c r="C18" s="9" t="s">
        <v>269</v>
      </c>
      <c r="D18" s="10" t="s">
        <v>318</v>
      </c>
      <c r="E18" s="11"/>
      <c r="F18" s="12" t="str">
        <f t="shared" si="1"/>
        <v/>
      </c>
      <c r="G18" s="13"/>
      <c r="H18" s="11"/>
      <c r="I18" s="11"/>
      <c r="J18" s="13"/>
      <c r="K18" s="1" t="s">
        <v>284</v>
      </c>
      <c r="L18" s="6" t="str">
        <f>IF(COUNTIFS($B$17:$B$81,"P11",$E$17:$E$81,"&gt;0")=0,"",ROUND(SUMIF($B$17:$B$81,"P11",$E$17:$E$81)/COUNTIFS($B$17:$B$81,"P11",$E$17:$E$81,"&gt;0"),2))</f>
        <v/>
      </c>
      <c r="M18" s="6" t="str">
        <f t="shared" si="0"/>
        <v/>
      </c>
    </row>
    <row r="19" spans="1:13" ht="34.049999999999997" customHeight="1" x14ac:dyDescent="0.45">
      <c r="A19" s="4" t="s">
        <v>132</v>
      </c>
      <c r="B19" s="4" t="s">
        <v>61</v>
      </c>
      <c r="C19" s="9" t="s">
        <v>269</v>
      </c>
      <c r="D19" s="10" t="s">
        <v>319</v>
      </c>
      <c r="E19" s="11"/>
      <c r="F19" s="12" t="str">
        <f t="shared" si="1"/>
        <v/>
      </c>
      <c r="G19" s="13"/>
      <c r="H19" s="11"/>
      <c r="I19" s="11"/>
      <c r="J19" s="13"/>
    </row>
    <row r="20" spans="1:13" ht="34.049999999999997" customHeight="1" x14ac:dyDescent="0.45">
      <c r="A20" s="4" t="s">
        <v>135</v>
      </c>
      <c r="B20" s="4" t="s">
        <v>61</v>
      </c>
      <c r="C20" s="9" t="s">
        <v>269</v>
      </c>
      <c r="D20" s="10" t="s">
        <v>320</v>
      </c>
      <c r="E20" s="11"/>
      <c r="F20" s="12" t="str">
        <f t="shared" si="1"/>
        <v/>
      </c>
      <c r="G20" s="13"/>
      <c r="H20" s="11"/>
      <c r="I20" s="11"/>
      <c r="J20" s="13"/>
      <c r="K20" s="16" t="s">
        <v>72</v>
      </c>
      <c r="L20" s="15"/>
      <c r="M20" s="15"/>
    </row>
    <row r="21" spans="1:13" ht="34.049999999999997" customHeight="1" x14ac:dyDescent="0.45">
      <c r="A21" s="4" t="s">
        <v>138</v>
      </c>
      <c r="B21" s="4" t="s">
        <v>61</v>
      </c>
      <c r="C21" s="9" t="s">
        <v>269</v>
      </c>
      <c r="D21" s="10" t="s">
        <v>321</v>
      </c>
      <c r="E21" s="11"/>
      <c r="F21" s="12" t="str">
        <f t="shared" si="1"/>
        <v/>
      </c>
      <c r="G21" s="13"/>
      <c r="H21" s="11"/>
      <c r="I21" s="11"/>
      <c r="J21" s="13"/>
      <c r="K21" s="1" t="s">
        <v>288</v>
      </c>
      <c r="L21" s="23" t="str">
        <f>IF(COUNT(E17:E81)=0,"",ROUND(AVERAGE(E22:E27,E34:E39,E40:E45),2))</f>
        <v/>
      </c>
      <c r="M21" s="18"/>
    </row>
    <row r="22" spans="1:13" ht="34.049999999999997" customHeight="1" x14ac:dyDescent="0.45">
      <c r="A22" s="4" t="s">
        <v>67</v>
      </c>
      <c r="B22" s="4" t="s">
        <v>68</v>
      </c>
      <c r="C22" s="9" t="s">
        <v>271</v>
      </c>
      <c r="D22" s="10" t="s">
        <v>322</v>
      </c>
      <c r="E22" s="11"/>
      <c r="F22" s="12" t="str">
        <f t="shared" si="1"/>
        <v/>
      </c>
      <c r="G22" s="13"/>
      <c r="H22" s="11"/>
      <c r="I22" s="11"/>
      <c r="J22" s="13"/>
      <c r="K22" s="1" t="s">
        <v>290</v>
      </c>
      <c r="L22" s="23" t="str">
        <f>IF(COUNT(E17:E81)=0,"",ROUND(AVERAGE(E17:E21,E46:E51,E76:E81),2))</f>
        <v/>
      </c>
      <c r="M22" s="18"/>
    </row>
    <row r="23" spans="1:13" ht="34.049999999999997" customHeight="1" x14ac:dyDescent="0.45">
      <c r="A23" s="4" t="s">
        <v>70</v>
      </c>
      <c r="B23" s="4" t="s">
        <v>68</v>
      </c>
      <c r="C23" s="9" t="s">
        <v>271</v>
      </c>
      <c r="D23" s="10" t="s">
        <v>323</v>
      </c>
      <c r="E23" s="11"/>
      <c r="F23" s="12" t="str">
        <f t="shared" si="1"/>
        <v/>
      </c>
      <c r="G23" s="13"/>
      <c r="H23" s="11"/>
      <c r="I23" s="11"/>
      <c r="J23" s="13"/>
      <c r="K23" s="1" t="s">
        <v>292</v>
      </c>
      <c r="L23" s="23" t="str">
        <f>IF(COUNT(E17:E81)=0,"",ROUND(AVERAGE(E52:E57,E58:E63),2))</f>
        <v/>
      </c>
      <c r="M23" s="18"/>
    </row>
    <row r="24" spans="1:13" ht="34.049999999999997" customHeight="1" x14ac:dyDescent="0.45">
      <c r="A24" s="4" t="s">
        <v>147</v>
      </c>
      <c r="B24" s="4" t="s">
        <v>68</v>
      </c>
      <c r="C24" s="9" t="s">
        <v>271</v>
      </c>
      <c r="D24" s="10" t="s">
        <v>324</v>
      </c>
      <c r="E24" s="11"/>
      <c r="F24" s="12" t="str">
        <f t="shared" si="1"/>
        <v/>
      </c>
      <c r="G24" s="13"/>
      <c r="H24" s="11"/>
      <c r="I24" s="11"/>
      <c r="J24" s="13"/>
      <c r="K24" s="1" t="s">
        <v>140</v>
      </c>
      <c r="L24" s="23" t="str">
        <f>IF(L5="","",IF(OR(L5&lt;2.8,L9&lt;2.5,L12&lt;2.5,L14&lt;2.5,L17&lt;2.5),"Escalate","Monitor"))</f>
        <v/>
      </c>
      <c r="M24" s="18"/>
    </row>
    <row r="25" spans="1:13" ht="34.049999999999997" customHeight="1" x14ac:dyDescent="0.45">
      <c r="A25" s="4" t="s">
        <v>149</v>
      </c>
      <c r="B25" s="4" t="s">
        <v>68</v>
      </c>
      <c r="C25" s="9" t="s">
        <v>271</v>
      </c>
      <c r="D25" s="10" t="s">
        <v>325</v>
      </c>
      <c r="E25" s="11"/>
      <c r="F25" s="12" t="str">
        <f t="shared" si="1"/>
        <v/>
      </c>
      <c r="G25" s="13"/>
      <c r="H25" s="11"/>
      <c r="I25" s="11"/>
      <c r="J25" s="13"/>
    </row>
    <row r="26" spans="1:13" ht="34.049999999999997" customHeight="1" x14ac:dyDescent="0.45">
      <c r="A26" s="4" t="s">
        <v>151</v>
      </c>
      <c r="B26" s="4" t="s">
        <v>68</v>
      </c>
      <c r="C26" s="9" t="s">
        <v>271</v>
      </c>
      <c r="D26" s="10" t="s">
        <v>326</v>
      </c>
      <c r="E26" s="11"/>
      <c r="F26" s="12" t="str">
        <f t="shared" si="1"/>
        <v/>
      </c>
      <c r="G26" s="13"/>
      <c r="H26" s="11"/>
      <c r="I26" s="11"/>
      <c r="J26" s="13"/>
    </row>
    <row r="27" spans="1:13" ht="34.049999999999997" customHeight="1" x14ac:dyDescent="0.45">
      <c r="A27" s="4" t="s">
        <v>153</v>
      </c>
      <c r="B27" s="4" t="s">
        <v>68</v>
      </c>
      <c r="C27" s="9" t="s">
        <v>271</v>
      </c>
      <c r="D27" s="10" t="s">
        <v>327</v>
      </c>
      <c r="E27" s="11"/>
      <c r="F27" s="12" t="str">
        <f t="shared" si="1"/>
        <v/>
      </c>
      <c r="G27" s="13"/>
      <c r="H27" s="11"/>
      <c r="I27" s="11"/>
      <c r="J27" s="13"/>
    </row>
    <row r="28" spans="1:13" ht="34.049999999999997" customHeight="1" x14ac:dyDescent="0.45">
      <c r="A28" s="4" t="s">
        <v>73</v>
      </c>
      <c r="B28" s="4" t="s">
        <v>74</v>
      </c>
      <c r="C28" s="9" t="s">
        <v>272</v>
      </c>
      <c r="D28" s="10" t="s">
        <v>328</v>
      </c>
      <c r="E28" s="11"/>
      <c r="F28" s="12" t="str">
        <f t="shared" si="1"/>
        <v/>
      </c>
      <c r="G28" s="13"/>
      <c r="H28" s="11"/>
      <c r="I28" s="11"/>
      <c r="J28" s="13"/>
    </row>
    <row r="29" spans="1:13" ht="34.049999999999997" customHeight="1" x14ac:dyDescent="0.45">
      <c r="A29" s="4" t="s">
        <v>77</v>
      </c>
      <c r="B29" s="4" t="s">
        <v>74</v>
      </c>
      <c r="C29" s="9" t="s">
        <v>272</v>
      </c>
      <c r="D29" s="10" t="s">
        <v>329</v>
      </c>
      <c r="E29" s="11"/>
      <c r="F29" s="12" t="str">
        <f t="shared" si="1"/>
        <v/>
      </c>
      <c r="G29" s="13"/>
      <c r="H29" s="11"/>
      <c r="I29" s="11"/>
      <c r="J29" s="13"/>
    </row>
    <row r="30" spans="1:13" ht="34.049999999999997" customHeight="1" x14ac:dyDescent="0.45">
      <c r="A30" s="4" t="s">
        <v>159</v>
      </c>
      <c r="B30" s="4" t="s">
        <v>74</v>
      </c>
      <c r="C30" s="9" t="s">
        <v>272</v>
      </c>
      <c r="D30" s="10" t="s">
        <v>330</v>
      </c>
      <c r="E30" s="11"/>
      <c r="F30" s="12" t="str">
        <f t="shared" si="1"/>
        <v/>
      </c>
      <c r="G30" s="13"/>
      <c r="H30" s="11"/>
      <c r="I30" s="11"/>
      <c r="J30" s="13"/>
    </row>
    <row r="31" spans="1:13" ht="34.049999999999997" customHeight="1" x14ac:dyDescent="0.45">
      <c r="A31" s="4" t="s">
        <v>161</v>
      </c>
      <c r="B31" s="4" t="s">
        <v>74</v>
      </c>
      <c r="C31" s="9" t="s">
        <v>272</v>
      </c>
      <c r="D31" s="10" t="s">
        <v>331</v>
      </c>
      <c r="E31" s="11"/>
      <c r="F31" s="12" t="str">
        <f t="shared" si="1"/>
        <v/>
      </c>
      <c r="G31" s="13"/>
      <c r="H31" s="11"/>
      <c r="I31" s="11"/>
      <c r="J31" s="13"/>
    </row>
    <row r="32" spans="1:13" ht="34.049999999999997" customHeight="1" x14ac:dyDescent="0.45">
      <c r="A32" s="4" t="s">
        <v>163</v>
      </c>
      <c r="B32" s="4" t="s">
        <v>74</v>
      </c>
      <c r="C32" s="9" t="s">
        <v>272</v>
      </c>
      <c r="D32" s="10" t="s">
        <v>332</v>
      </c>
      <c r="E32" s="11"/>
      <c r="F32" s="12" t="str">
        <f t="shared" si="1"/>
        <v/>
      </c>
      <c r="G32" s="13"/>
      <c r="H32" s="11"/>
      <c r="I32" s="11"/>
      <c r="J32" s="13"/>
    </row>
    <row r="33" spans="1:10" ht="34.049999999999997" customHeight="1" x14ac:dyDescent="0.45">
      <c r="A33" s="4" t="s">
        <v>165</v>
      </c>
      <c r="B33" s="4" t="s">
        <v>74</v>
      </c>
      <c r="C33" s="9" t="s">
        <v>272</v>
      </c>
      <c r="D33" s="10" t="s">
        <v>333</v>
      </c>
      <c r="E33" s="11"/>
      <c r="F33" s="12" t="str">
        <f t="shared" si="1"/>
        <v/>
      </c>
      <c r="G33" s="13"/>
      <c r="H33" s="11"/>
      <c r="I33" s="11"/>
      <c r="J33" s="13"/>
    </row>
    <row r="34" spans="1:10" ht="34.049999999999997" customHeight="1" x14ac:dyDescent="0.45">
      <c r="A34" s="4" t="s">
        <v>79</v>
      </c>
      <c r="B34" s="4" t="s">
        <v>80</v>
      </c>
      <c r="C34" s="9" t="s">
        <v>273</v>
      </c>
      <c r="D34" s="10" t="s">
        <v>334</v>
      </c>
      <c r="E34" s="11"/>
      <c r="F34" s="12" t="str">
        <f t="shared" si="1"/>
        <v/>
      </c>
      <c r="G34" s="13"/>
      <c r="H34" s="11"/>
      <c r="I34" s="11"/>
      <c r="J34" s="13"/>
    </row>
    <row r="35" spans="1:10" ht="34.049999999999997" customHeight="1" x14ac:dyDescent="0.45">
      <c r="A35" s="4" t="s">
        <v>82</v>
      </c>
      <c r="B35" s="4" t="s">
        <v>80</v>
      </c>
      <c r="C35" s="9" t="s">
        <v>273</v>
      </c>
      <c r="D35" s="10" t="s">
        <v>335</v>
      </c>
      <c r="E35" s="11"/>
      <c r="F35" s="12" t="str">
        <f t="shared" si="1"/>
        <v/>
      </c>
      <c r="G35" s="13"/>
      <c r="H35" s="11"/>
      <c r="I35" s="11"/>
      <c r="J35" s="13"/>
    </row>
    <row r="36" spans="1:10" ht="34.049999999999997" customHeight="1" x14ac:dyDescent="0.45">
      <c r="A36" s="4" t="s">
        <v>177</v>
      </c>
      <c r="B36" s="4" t="s">
        <v>80</v>
      </c>
      <c r="C36" s="9" t="s">
        <v>273</v>
      </c>
      <c r="D36" s="10" t="s">
        <v>336</v>
      </c>
      <c r="E36" s="11"/>
      <c r="F36" s="12" t="str">
        <f t="shared" si="1"/>
        <v/>
      </c>
      <c r="G36" s="13"/>
      <c r="H36" s="11"/>
      <c r="I36" s="11"/>
      <c r="J36" s="13"/>
    </row>
    <row r="37" spans="1:10" ht="34.049999999999997" customHeight="1" x14ac:dyDescent="0.45">
      <c r="A37" s="4" t="s">
        <v>179</v>
      </c>
      <c r="B37" s="4" t="s">
        <v>80</v>
      </c>
      <c r="C37" s="9" t="s">
        <v>273</v>
      </c>
      <c r="D37" s="10" t="s">
        <v>337</v>
      </c>
      <c r="E37" s="11"/>
      <c r="F37" s="12" t="str">
        <f t="shared" si="1"/>
        <v/>
      </c>
      <c r="G37" s="13"/>
      <c r="H37" s="11"/>
      <c r="I37" s="11"/>
      <c r="J37" s="13"/>
    </row>
    <row r="38" spans="1:10" ht="34.049999999999997" customHeight="1" x14ac:dyDescent="0.45">
      <c r="A38" s="4" t="s">
        <v>181</v>
      </c>
      <c r="B38" s="4" t="s">
        <v>80</v>
      </c>
      <c r="C38" s="9" t="s">
        <v>273</v>
      </c>
      <c r="D38" s="10" t="s">
        <v>338</v>
      </c>
      <c r="E38" s="11"/>
      <c r="F38" s="12" t="str">
        <f t="shared" si="1"/>
        <v/>
      </c>
      <c r="G38" s="13"/>
      <c r="H38" s="11"/>
      <c r="I38" s="11"/>
      <c r="J38" s="13"/>
    </row>
    <row r="39" spans="1:10" ht="34.049999999999997" customHeight="1" x14ac:dyDescent="0.45">
      <c r="A39" s="4" t="s">
        <v>183</v>
      </c>
      <c r="B39" s="4" t="s">
        <v>80</v>
      </c>
      <c r="C39" s="9" t="s">
        <v>273</v>
      </c>
      <c r="D39" s="10" t="s">
        <v>339</v>
      </c>
      <c r="E39" s="11"/>
      <c r="F39" s="12" t="str">
        <f t="shared" si="1"/>
        <v/>
      </c>
      <c r="G39" s="13"/>
      <c r="H39" s="11"/>
      <c r="I39" s="11"/>
      <c r="J39" s="13"/>
    </row>
    <row r="40" spans="1:10" ht="34.049999999999997" customHeight="1" x14ac:dyDescent="0.45">
      <c r="A40" s="4" t="s">
        <v>84</v>
      </c>
      <c r="B40" s="4" t="s">
        <v>85</v>
      </c>
      <c r="C40" s="9" t="s">
        <v>274</v>
      </c>
      <c r="D40" s="10" t="s">
        <v>340</v>
      </c>
      <c r="E40" s="11"/>
      <c r="F40" s="12" t="str">
        <f t="shared" si="1"/>
        <v/>
      </c>
      <c r="G40" s="13"/>
      <c r="H40" s="11"/>
      <c r="I40" s="11"/>
      <c r="J40" s="13"/>
    </row>
    <row r="41" spans="1:10" ht="34.049999999999997" customHeight="1" x14ac:dyDescent="0.45">
      <c r="A41" s="4" t="s">
        <v>87</v>
      </c>
      <c r="B41" s="4" t="s">
        <v>85</v>
      </c>
      <c r="C41" s="9" t="s">
        <v>274</v>
      </c>
      <c r="D41" s="10" t="s">
        <v>341</v>
      </c>
      <c r="E41" s="11"/>
      <c r="F41" s="12" t="str">
        <f t="shared" si="1"/>
        <v/>
      </c>
      <c r="G41" s="13"/>
      <c r="H41" s="11"/>
      <c r="I41" s="11"/>
      <c r="J41" s="13"/>
    </row>
    <row r="42" spans="1:10" ht="34.049999999999997" customHeight="1" x14ac:dyDescent="0.45">
      <c r="A42" s="4" t="s">
        <v>195</v>
      </c>
      <c r="B42" s="4" t="s">
        <v>85</v>
      </c>
      <c r="C42" s="9" t="s">
        <v>274</v>
      </c>
      <c r="D42" s="10" t="s">
        <v>342</v>
      </c>
      <c r="E42" s="11"/>
      <c r="F42" s="12" t="str">
        <f t="shared" si="1"/>
        <v/>
      </c>
      <c r="G42" s="13"/>
      <c r="H42" s="11"/>
      <c r="I42" s="11"/>
      <c r="J42" s="13"/>
    </row>
    <row r="43" spans="1:10" ht="34.049999999999997" customHeight="1" x14ac:dyDescent="0.45">
      <c r="A43" s="4" t="s">
        <v>197</v>
      </c>
      <c r="B43" s="4" t="s">
        <v>85</v>
      </c>
      <c r="C43" s="9" t="s">
        <v>274</v>
      </c>
      <c r="D43" s="10" t="s">
        <v>343</v>
      </c>
      <c r="E43" s="11"/>
      <c r="F43" s="12" t="str">
        <f t="shared" si="1"/>
        <v/>
      </c>
      <c r="G43" s="13"/>
      <c r="H43" s="11"/>
      <c r="I43" s="11"/>
      <c r="J43" s="13"/>
    </row>
    <row r="44" spans="1:10" ht="34.049999999999997" customHeight="1" x14ac:dyDescent="0.45">
      <c r="A44" s="4" t="s">
        <v>199</v>
      </c>
      <c r="B44" s="4" t="s">
        <v>85</v>
      </c>
      <c r="C44" s="9" t="s">
        <v>274</v>
      </c>
      <c r="D44" s="10" t="s">
        <v>344</v>
      </c>
      <c r="E44" s="11"/>
      <c r="F44" s="12" t="str">
        <f t="shared" si="1"/>
        <v/>
      </c>
      <c r="G44" s="13"/>
      <c r="H44" s="11"/>
      <c r="I44" s="11"/>
      <c r="J44" s="13"/>
    </row>
    <row r="45" spans="1:10" ht="34.049999999999997" customHeight="1" x14ac:dyDescent="0.45">
      <c r="A45" s="4" t="s">
        <v>201</v>
      </c>
      <c r="B45" s="4" t="s">
        <v>85</v>
      </c>
      <c r="C45" s="9" t="s">
        <v>274</v>
      </c>
      <c r="D45" s="10" t="s">
        <v>345</v>
      </c>
      <c r="E45" s="11"/>
      <c r="F45" s="12" t="str">
        <f t="shared" si="1"/>
        <v/>
      </c>
      <c r="G45" s="13"/>
      <c r="H45" s="11"/>
      <c r="I45" s="11"/>
      <c r="J45" s="13"/>
    </row>
    <row r="46" spans="1:10" ht="34.049999999999997" customHeight="1" x14ac:dyDescent="0.45">
      <c r="A46" s="4" t="s">
        <v>89</v>
      </c>
      <c r="B46" s="4" t="s">
        <v>90</v>
      </c>
      <c r="C46" s="9" t="s">
        <v>275</v>
      </c>
      <c r="D46" s="10" t="s">
        <v>346</v>
      </c>
      <c r="E46" s="11"/>
      <c r="F46" s="12" t="str">
        <f t="shared" si="1"/>
        <v/>
      </c>
      <c r="G46" s="13"/>
      <c r="H46" s="11"/>
      <c r="I46" s="11"/>
      <c r="J46" s="13"/>
    </row>
    <row r="47" spans="1:10" ht="34.049999999999997" customHeight="1" x14ac:dyDescent="0.45">
      <c r="A47" s="4" t="s">
        <v>92</v>
      </c>
      <c r="B47" s="4" t="s">
        <v>90</v>
      </c>
      <c r="C47" s="9" t="s">
        <v>275</v>
      </c>
      <c r="D47" s="10" t="s">
        <v>347</v>
      </c>
      <c r="E47" s="11"/>
      <c r="F47" s="12" t="str">
        <f t="shared" si="1"/>
        <v/>
      </c>
      <c r="G47" s="13"/>
      <c r="H47" s="11"/>
      <c r="I47" s="11"/>
      <c r="J47" s="13"/>
    </row>
    <row r="48" spans="1:10" ht="34.049999999999997" customHeight="1" x14ac:dyDescent="0.45">
      <c r="A48" s="4" t="s">
        <v>207</v>
      </c>
      <c r="B48" s="4" t="s">
        <v>90</v>
      </c>
      <c r="C48" s="9" t="s">
        <v>275</v>
      </c>
      <c r="D48" s="10" t="s">
        <v>348</v>
      </c>
      <c r="E48" s="11"/>
      <c r="F48" s="12" t="str">
        <f t="shared" si="1"/>
        <v/>
      </c>
      <c r="G48" s="13"/>
      <c r="H48" s="11"/>
      <c r="I48" s="11"/>
      <c r="J48" s="13"/>
    </row>
    <row r="49" spans="1:10" ht="34.049999999999997" customHeight="1" x14ac:dyDescent="0.45">
      <c r="A49" s="4" t="s">
        <v>209</v>
      </c>
      <c r="B49" s="4" t="s">
        <v>90</v>
      </c>
      <c r="C49" s="9" t="s">
        <v>275</v>
      </c>
      <c r="D49" s="10" t="s">
        <v>349</v>
      </c>
      <c r="E49" s="11"/>
      <c r="F49" s="12" t="str">
        <f t="shared" ref="F49:F80" si="2">IF(E49="","",IF(E49=1,"Critical",IF(E49=2,"Weak",IF(E49=3,"At Risk",IF(E49=4,"Controlled","Strong")))))</f>
        <v/>
      </c>
      <c r="G49" s="13"/>
      <c r="H49" s="11"/>
      <c r="I49" s="11"/>
      <c r="J49" s="13"/>
    </row>
    <row r="50" spans="1:10" ht="34.049999999999997" customHeight="1" x14ac:dyDescent="0.45">
      <c r="A50" s="4" t="s">
        <v>211</v>
      </c>
      <c r="B50" s="4" t="s">
        <v>90</v>
      </c>
      <c r="C50" s="9" t="s">
        <v>275</v>
      </c>
      <c r="D50" s="10" t="s">
        <v>350</v>
      </c>
      <c r="E50" s="11"/>
      <c r="F50" s="12" t="str">
        <f t="shared" si="2"/>
        <v/>
      </c>
      <c r="G50" s="13"/>
      <c r="H50" s="11"/>
      <c r="I50" s="11"/>
      <c r="J50" s="13"/>
    </row>
    <row r="51" spans="1:10" ht="34.049999999999997" customHeight="1" x14ac:dyDescent="0.45">
      <c r="A51" s="4" t="s">
        <v>213</v>
      </c>
      <c r="B51" s="4" t="s">
        <v>90</v>
      </c>
      <c r="C51" s="9" t="s">
        <v>275</v>
      </c>
      <c r="D51" s="10" t="s">
        <v>351</v>
      </c>
      <c r="E51" s="11"/>
      <c r="F51" s="12" t="str">
        <f t="shared" si="2"/>
        <v/>
      </c>
      <c r="G51" s="13"/>
      <c r="H51" s="11"/>
      <c r="I51" s="11"/>
      <c r="J51" s="13"/>
    </row>
    <row r="52" spans="1:10" ht="34.049999999999997" customHeight="1" x14ac:dyDescent="0.45">
      <c r="A52" s="4" t="s">
        <v>94</v>
      </c>
      <c r="B52" s="4" t="s">
        <v>95</v>
      </c>
      <c r="C52" s="9" t="s">
        <v>276</v>
      </c>
      <c r="D52" s="10" t="s">
        <v>352</v>
      </c>
      <c r="E52" s="11"/>
      <c r="F52" s="12" t="str">
        <f t="shared" si="2"/>
        <v/>
      </c>
      <c r="G52" s="13"/>
      <c r="H52" s="11"/>
      <c r="I52" s="11"/>
      <c r="J52" s="13"/>
    </row>
    <row r="53" spans="1:10" ht="34.049999999999997" customHeight="1" x14ac:dyDescent="0.45">
      <c r="A53" s="4" t="s">
        <v>97</v>
      </c>
      <c r="B53" s="4" t="s">
        <v>95</v>
      </c>
      <c r="C53" s="9" t="s">
        <v>276</v>
      </c>
      <c r="D53" s="10" t="s">
        <v>353</v>
      </c>
      <c r="E53" s="11"/>
      <c r="F53" s="12" t="str">
        <f t="shared" si="2"/>
        <v/>
      </c>
      <c r="G53" s="13"/>
      <c r="H53" s="11"/>
      <c r="I53" s="11"/>
      <c r="J53" s="13"/>
    </row>
    <row r="54" spans="1:10" ht="34.049999999999997" customHeight="1" x14ac:dyDescent="0.45">
      <c r="A54" s="4" t="s">
        <v>219</v>
      </c>
      <c r="B54" s="4" t="s">
        <v>95</v>
      </c>
      <c r="C54" s="9" t="s">
        <v>276</v>
      </c>
      <c r="D54" s="10" t="s">
        <v>354</v>
      </c>
      <c r="E54" s="11"/>
      <c r="F54" s="12" t="str">
        <f t="shared" si="2"/>
        <v/>
      </c>
      <c r="G54" s="13"/>
      <c r="H54" s="11"/>
      <c r="I54" s="11"/>
      <c r="J54" s="13"/>
    </row>
    <row r="55" spans="1:10" ht="34.049999999999997" customHeight="1" x14ac:dyDescent="0.45">
      <c r="A55" s="4" t="s">
        <v>221</v>
      </c>
      <c r="B55" s="4" t="s">
        <v>95</v>
      </c>
      <c r="C55" s="9" t="s">
        <v>276</v>
      </c>
      <c r="D55" s="10" t="s">
        <v>355</v>
      </c>
      <c r="E55" s="11"/>
      <c r="F55" s="12" t="str">
        <f t="shared" si="2"/>
        <v/>
      </c>
      <c r="G55" s="13"/>
      <c r="H55" s="11"/>
      <c r="I55" s="11"/>
      <c r="J55" s="13"/>
    </row>
    <row r="56" spans="1:10" ht="34.049999999999997" customHeight="1" x14ac:dyDescent="0.45">
      <c r="A56" s="4" t="s">
        <v>223</v>
      </c>
      <c r="B56" s="4" t="s">
        <v>95</v>
      </c>
      <c r="C56" s="9" t="s">
        <v>276</v>
      </c>
      <c r="D56" s="10" t="s">
        <v>356</v>
      </c>
      <c r="E56" s="11"/>
      <c r="F56" s="12" t="str">
        <f t="shared" si="2"/>
        <v/>
      </c>
      <c r="G56" s="13"/>
      <c r="H56" s="11"/>
      <c r="I56" s="11"/>
      <c r="J56" s="13"/>
    </row>
    <row r="57" spans="1:10" ht="34.049999999999997" customHeight="1" x14ac:dyDescent="0.45">
      <c r="A57" s="4" t="s">
        <v>225</v>
      </c>
      <c r="B57" s="4" t="s">
        <v>95</v>
      </c>
      <c r="C57" s="9" t="s">
        <v>276</v>
      </c>
      <c r="D57" s="10" t="s">
        <v>357</v>
      </c>
      <c r="E57" s="11"/>
      <c r="F57" s="12" t="str">
        <f t="shared" si="2"/>
        <v/>
      </c>
      <c r="G57" s="13"/>
      <c r="H57" s="11"/>
      <c r="I57" s="11"/>
      <c r="J57" s="13"/>
    </row>
    <row r="58" spans="1:10" ht="34.049999999999997" customHeight="1" x14ac:dyDescent="0.45">
      <c r="A58" s="4" t="s">
        <v>99</v>
      </c>
      <c r="B58" s="4" t="s">
        <v>100</v>
      </c>
      <c r="C58" s="9" t="s">
        <v>278</v>
      </c>
      <c r="D58" s="10" t="s">
        <v>358</v>
      </c>
      <c r="E58" s="11"/>
      <c r="F58" s="12" t="str">
        <f t="shared" si="2"/>
        <v/>
      </c>
      <c r="G58" s="13"/>
      <c r="H58" s="11"/>
      <c r="I58" s="11"/>
      <c r="J58" s="13"/>
    </row>
    <row r="59" spans="1:10" ht="34.049999999999997" customHeight="1" x14ac:dyDescent="0.45">
      <c r="A59" s="4" t="s">
        <v>102</v>
      </c>
      <c r="B59" s="4" t="s">
        <v>100</v>
      </c>
      <c r="C59" s="9" t="s">
        <v>278</v>
      </c>
      <c r="D59" s="10" t="s">
        <v>359</v>
      </c>
      <c r="E59" s="11"/>
      <c r="F59" s="12" t="str">
        <f t="shared" si="2"/>
        <v/>
      </c>
      <c r="G59" s="13"/>
      <c r="H59" s="11"/>
      <c r="I59" s="11"/>
      <c r="J59" s="13"/>
    </row>
    <row r="60" spans="1:10" ht="34.049999999999997" customHeight="1" x14ac:dyDescent="0.45">
      <c r="A60" s="4" t="s">
        <v>247</v>
      </c>
      <c r="B60" s="4" t="s">
        <v>100</v>
      </c>
      <c r="C60" s="9" t="s">
        <v>278</v>
      </c>
      <c r="D60" s="10" t="s">
        <v>360</v>
      </c>
      <c r="E60" s="11"/>
      <c r="F60" s="12" t="str">
        <f t="shared" si="2"/>
        <v/>
      </c>
      <c r="G60" s="13"/>
      <c r="H60" s="11"/>
      <c r="I60" s="11"/>
      <c r="J60" s="13"/>
    </row>
    <row r="61" spans="1:10" ht="34.049999999999997" customHeight="1" x14ac:dyDescent="0.45">
      <c r="A61" s="4" t="s">
        <v>249</v>
      </c>
      <c r="B61" s="4" t="s">
        <v>100</v>
      </c>
      <c r="C61" s="9" t="s">
        <v>278</v>
      </c>
      <c r="D61" s="10" t="s">
        <v>361</v>
      </c>
      <c r="E61" s="11"/>
      <c r="F61" s="12" t="str">
        <f t="shared" si="2"/>
        <v/>
      </c>
      <c r="G61" s="13"/>
      <c r="H61" s="11"/>
      <c r="I61" s="11"/>
      <c r="J61" s="13"/>
    </row>
    <row r="62" spans="1:10" ht="34.049999999999997" customHeight="1" x14ac:dyDescent="0.45">
      <c r="A62" s="4" t="s">
        <v>251</v>
      </c>
      <c r="B62" s="4" t="s">
        <v>100</v>
      </c>
      <c r="C62" s="9" t="s">
        <v>278</v>
      </c>
      <c r="D62" s="10" t="s">
        <v>362</v>
      </c>
      <c r="E62" s="11"/>
      <c r="F62" s="12" t="str">
        <f t="shared" si="2"/>
        <v/>
      </c>
      <c r="G62" s="13"/>
      <c r="H62" s="11"/>
      <c r="I62" s="11"/>
      <c r="J62" s="13"/>
    </row>
    <row r="63" spans="1:10" ht="34.049999999999997" customHeight="1" x14ac:dyDescent="0.45">
      <c r="A63" s="4" t="s">
        <v>253</v>
      </c>
      <c r="B63" s="4" t="s">
        <v>100</v>
      </c>
      <c r="C63" s="9" t="s">
        <v>278</v>
      </c>
      <c r="D63" s="10" t="s">
        <v>363</v>
      </c>
      <c r="E63" s="11"/>
      <c r="F63" s="12" t="str">
        <f t="shared" si="2"/>
        <v/>
      </c>
      <c r="G63" s="13"/>
      <c r="H63" s="11"/>
      <c r="I63" s="11"/>
      <c r="J63" s="13"/>
    </row>
    <row r="64" spans="1:10" ht="34.049999999999997" customHeight="1" x14ac:dyDescent="0.45">
      <c r="A64" s="4" t="s">
        <v>104</v>
      </c>
      <c r="B64" s="4" t="s">
        <v>105</v>
      </c>
      <c r="C64" s="9" t="s">
        <v>280</v>
      </c>
      <c r="D64" s="10" t="s">
        <v>364</v>
      </c>
      <c r="E64" s="11"/>
      <c r="F64" s="12" t="str">
        <f t="shared" si="2"/>
        <v/>
      </c>
      <c r="G64" s="13"/>
      <c r="H64" s="11"/>
      <c r="I64" s="11"/>
      <c r="J64" s="13"/>
    </row>
    <row r="65" spans="1:10" ht="34.049999999999997" customHeight="1" x14ac:dyDescent="0.45">
      <c r="A65" s="4" t="s">
        <v>107</v>
      </c>
      <c r="B65" s="4" t="s">
        <v>105</v>
      </c>
      <c r="C65" s="9" t="s">
        <v>280</v>
      </c>
      <c r="D65" s="10" t="s">
        <v>365</v>
      </c>
      <c r="E65" s="11"/>
      <c r="F65" s="12" t="str">
        <f t="shared" si="2"/>
        <v/>
      </c>
      <c r="G65" s="13"/>
      <c r="H65" s="11"/>
      <c r="I65" s="11"/>
      <c r="J65" s="13"/>
    </row>
    <row r="66" spans="1:10" ht="34.049999999999997" customHeight="1" x14ac:dyDescent="0.45">
      <c r="A66" s="4" t="s">
        <v>259</v>
      </c>
      <c r="B66" s="4" t="s">
        <v>105</v>
      </c>
      <c r="C66" s="9" t="s">
        <v>280</v>
      </c>
      <c r="D66" s="10" t="s">
        <v>366</v>
      </c>
      <c r="E66" s="11"/>
      <c r="F66" s="12" t="str">
        <f t="shared" si="2"/>
        <v/>
      </c>
      <c r="G66" s="13"/>
      <c r="H66" s="11"/>
      <c r="I66" s="11"/>
      <c r="J66" s="13"/>
    </row>
    <row r="67" spans="1:10" ht="34.049999999999997" customHeight="1" x14ac:dyDescent="0.45">
      <c r="A67" s="4" t="s">
        <v>261</v>
      </c>
      <c r="B67" s="4" t="s">
        <v>105</v>
      </c>
      <c r="C67" s="9" t="s">
        <v>280</v>
      </c>
      <c r="D67" s="10" t="s">
        <v>367</v>
      </c>
      <c r="E67" s="11"/>
      <c r="F67" s="12" t="str">
        <f t="shared" si="2"/>
        <v/>
      </c>
      <c r="G67" s="13"/>
      <c r="H67" s="11"/>
      <c r="I67" s="11"/>
      <c r="J67" s="13"/>
    </row>
    <row r="68" spans="1:10" ht="34.049999999999997" customHeight="1" x14ac:dyDescent="0.45">
      <c r="A68" s="4" t="s">
        <v>263</v>
      </c>
      <c r="B68" s="4" t="s">
        <v>105</v>
      </c>
      <c r="C68" s="9" t="s">
        <v>280</v>
      </c>
      <c r="D68" s="10" t="s">
        <v>368</v>
      </c>
      <c r="E68" s="11"/>
      <c r="F68" s="12" t="str">
        <f t="shared" si="2"/>
        <v/>
      </c>
      <c r="G68" s="13"/>
      <c r="H68" s="11"/>
      <c r="I68" s="11"/>
      <c r="J68" s="13"/>
    </row>
    <row r="69" spans="1:10" ht="34.049999999999997" customHeight="1" x14ac:dyDescent="0.45">
      <c r="A69" s="4" t="s">
        <v>369</v>
      </c>
      <c r="B69" s="4" t="s">
        <v>105</v>
      </c>
      <c r="C69" s="9" t="s">
        <v>280</v>
      </c>
      <c r="D69" s="10" t="s">
        <v>370</v>
      </c>
      <c r="E69" s="11"/>
      <c r="F69" s="12" t="str">
        <f t="shared" si="2"/>
        <v/>
      </c>
      <c r="G69" s="13"/>
      <c r="H69" s="11"/>
      <c r="I69" s="11"/>
      <c r="J69" s="13"/>
    </row>
    <row r="70" spans="1:10" ht="34.049999999999997" customHeight="1" x14ac:dyDescent="0.45">
      <c r="A70" s="4" t="s">
        <v>302</v>
      </c>
      <c r="B70" s="4" t="s">
        <v>303</v>
      </c>
      <c r="C70" s="9" t="s">
        <v>282</v>
      </c>
      <c r="D70" s="10" t="s">
        <v>371</v>
      </c>
      <c r="E70" s="11"/>
      <c r="F70" s="12" t="str">
        <f t="shared" si="2"/>
        <v/>
      </c>
      <c r="G70" s="13"/>
      <c r="H70" s="11"/>
      <c r="I70" s="11"/>
      <c r="J70" s="13"/>
    </row>
    <row r="71" spans="1:10" ht="34.049999999999997" customHeight="1" x14ac:dyDescent="0.45">
      <c r="A71" s="4" t="s">
        <v>305</v>
      </c>
      <c r="B71" s="4" t="s">
        <v>303</v>
      </c>
      <c r="C71" s="9" t="s">
        <v>282</v>
      </c>
      <c r="D71" s="10" t="s">
        <v>372</v>
      </c>
      <c r="E71" s="11"/>
      <c r="F71" s="12" t="str">
        <f t="shared" si="2"/>
        <v/>
      </c>
      <c r="G71" s="13"/>
      <c r="H71" s="11"/>
      <c r="I71" s="11"/>
      <c r="J71" s="13"/>
    </row>
    <row r="72" spans="1:10" ht="34.049999999999997" customHeight="1" x14ac:dyDescent="0.45">
      <c r="A72" s="4" t="s">
        <v>373</v>
      </c>
      <c r="B72" s="4" t="s">
        <v>303</v>
      </c>
      <c r="C72" s="9" t="s">
        <v>282</v>
      </c>
      <c r="D72" s="10" t="s">
        <v>374</v>
      </c>
      <c r="E72" s="11"/>
      <c r="F72" s="12" t="str">
        <f t="shared" si="2"/>
        <v/>
      </c>
      <c r="G72" s="13"/>
      <c r="H72" s="11"/>
      <c r="I72" s="11"/>
      <c r="J72" s="13"/>
    </row>
    <row r="73" spans="1:10" ht="34.049999999999997" customHeight="1" x14ac:dyDescent="0.45">
      <c r="A73" s="4" t="s">
        <v>375</v>
      </c>
      <c r="B73" s="4" t="s">
        <v>303</v>
      </c>
      <c r="C73" s="9" t="s">
        <v>282</v>
      </c>
      <c r="D73" s="10" t="s">
        <v>376</v>
      </c>
      <c r="E73" s="11"/>
      <c r="F73" s="12" t="str">
        <f t="shared" si="2"/>
        <v/>
      </c>
      <c r="G73" s="13"/>
      <c r="H73" s="11"/>
      <c r="I73" s="11"/>
      <c r="J73" s="13"/>
    </row>
    <row r="74" spans="1:10" ht="34.049999999999997" customHeight="1" x14ac:dyDescent="0.45">
      <c r="A74" s="4" t="s">
        <v>377</v>
      </c>
      <c r="B74" s="4" t="s">
        <v>303</v>
      </c>
      <c r="C74" s="9" t="s">
        <v>282</v>
      </c>
      <c r="D74" s="10" t="s">
        <v>378</v>
      </c>
      <c r="E74" s="11"/>
      <c r="F74" s="12" t="str">
        <f t="shared" si="2"/>
        <v/>
      </c>
      <c r="G74" s="13"/>
      <c r="H74" s="11"/>
      <c r="I74" s="11"/>
      <c r="J74" s="13"/>
    </row>
    <row r="75" spans="1:10" ht="34.049999999999997" customHeight="1" x14ac:dyDescent="0.45">
      <c r="A75" s="4" t="s">
        <v>379</v>
      </c>
      <c r="B75" s="4" t="s">
        <v>303</v>
      </c>
      <c r="C75" s="9" t="s">
        <v>282</v>
      </c>
      <c r="D75" s="10" t="s">
        <v>380</v>
      </c>
      <c r="E75" s="11"/>
      <c r="F75" s="12" t="str">
        <f t="shared" si="2"/>
        <v/>
      </c>
      <c r="G75" s="13"/>
      <c r="H75" s="11"/>
      <c r="I75" s="11"/>
      <c r="J75" s="13"/>
    </row>
    <row r="76" spans="1:10" ht="34.049999999999997" customHeight="1" x14ac:dyDescent="0.45">
      <c r="A76" s="4" t="s">
        <v>307</v>
      </c>
      <c r="B76" s="4" t="s">
        <v>308</v>
      </c>
      <c r="C76" s="9" t="s">
        <v>284</v>
      </c>
      <c r="D76" s="10" t="s">
        <v>381</v>
      </c>
      <c r="E76" s="11"/>
      <c r="F76" s="12" t="str">
        <f t="shared" si="2"/>
        <v/>
      </c>
      <c r="G76" s="13"/>
      <c r="H76" s="11"/>
      <c r="I76" s="11"/>
      <c r="J76" s="13"/>
    </row>
    <row r="77" spans="1:10" ht="34.049999999999997" customHeight="1" x14ac:dyDescent="0.45">
      <c r="A77" s="4" t="s">
        <v>310</v>
      </c>
      <c r="B77" s="4" t="s">
        <v>308</v>
      </c>
      <c r="C77" s="9" t="s">
        <v>284</v>
      </c>
      <c r="D77" s="10" t="s">
        <v>382</v>
      </c>
      <c r="E77" s="11"/>
      <c r="F77" s="12" t="str">
        <f t="shared" si="2"/>
        <v/>
      </c>
      <c r="G77" s="13"/>
      <c r="H77" s="11"/>
      <c r="I77" s="11"/>
      <c r="J77" s="13"/>
    </row>
    <row r="78" spans="1:10" ht="34.049999999999997" customHeight="1" x14ac:dyDescent="0.45">
      <c r="A78" s="4" t="s">
        <v>383</v>
      </c>
      <c r="B78" s="4" t="s">
        <v>308</v>
      </c>
      <c r="C78" s="9" t="s">
        <v>284</v>
      </c>
      <c r="D78" s="10" t="s">
        <v>384</v>
      </c>
      <c r="E78" s="11"/>
      <c r="F78" s="12" t="str">
        <f t="shared" si="2"/>
        <v/>
      </c>
      <c r="G78" s="13"/>
      <c r="H78" s="11"/>
      <c r="I78" s="11"/>
      <c r="J78" s="13"/>
    </row>
    <row r="79" spans="1:10" ht="34.049999999999997" customHeight="1" x14ac:dyDescent="0.45">
      <c r="A79" s="4" t="s">
        <v>385</v>
      </c>
      <c r="B79" s="4" t="s">
        <v>308</v>
      </c>
      <c r="C79" s="9" t="s">
        <v>284</v>
      </c>
      <c r="D79" s="10" t="s">
        <v>386</v>
      </c>
      <c r="E79" s="11"/>
      <c r="F79" s="12" t="str">
        <f t="shared" si="2"/>
        <v/>
      </c>
      <c r="G79" s="13"/>
      <c r="H79" s="11"/>
      <c r="I79" s="11"/>
      <c r="J79" s="13"/>
    </row>
    <row r="80" spans="1:10" ht="34.049999999999997" customHeight="1" x14ac:dyDescent="0.45">
      <c r="A80" s="4" t="s">
        <v>387</v>
      </c>
      <c r="B80" s="4" t="s">
        <v>308</v>
      </c>
      <c r="C80" s="9" t="s">
        <v>284</v>
      </c>
      <c r="D80" s="10" t="s">
        <v>388</v>
      </c>
      <c r="E80" s="11"/>
      <c r="F80" s="12" t="str">
        <f t="shared" si="2"/>
        <v/>
      </c>
      <c r="G80" s="13"/>
      <c r="H80" s="11"/>
      <c r="I80" s="11"/>
      <c r="J80" s="13"/>
    </row>
    <row r="81" spans="1:10" ht="34.049999999999997" customHeight="1" x14ac:dyDescent="0.45">
      <c r="A81" s="4" t="s">
        <v>389</v>
      </c>
      <c r="B81" s="4" t="s">
        <v>308</v>
      </c>
      <c r="C81" s="9" t="s">
        <v>284</v>
      </c>
      <c r="D81" s="10" t="s">
        <v>390</v>
      </c>
      <c r="E81" s="11"/>
      <c r="F81" s="12" t="str">
        <f t="shared" ref="F81" si="3">IF(E81="","",IF(E81=1,"Critical",IF(E81=2,"Weak",IF(E81=3,"At Risk",IF(E81=4,"Controlled","Strong")))))</f>
        <v/>
      </c>
      <c r="G81" s="13"/>
      <c r="H81" s="11"/>
      <c r="I81" s="11"/>
      <c r="J81" s="13"/>
    </row>
  </sheetData>
  <autoFilter ref="A16:J81" xr:uid="{00000000-0009-0000-0000-000005000000}"/>
  <mergeCells count="11">
    <mergeCell ref="A1:N1"/>
    <mergeCell ref="L24:M24"/>
    <mergeCell ref="L5:M5"/>
    <mergeCell ref="L23:M23"/>
    <mergeCell ref="K20:M20"/>
    <mergeCell ref="L22:M22"/>
    <mergeCell ref="L21:M21"/>
    <mergeCell ref="L6:M6"/>
    <mergeCell ref="K4:M4"/>
    <mergeCell ref="B13:E13"/>
    <mergeCell ref="A2:N2"/>
  </mergeCells>
  <conditionalFormatting sqref="E17:E81">
    <cfRule type="cellIs" dxfId="47" priority="1" operator="equal">
      <formula>1</formula>
    </cfRule>
    <cfRule type="cellIs" dxfId="46" priority="2" operator="equal">
      <formula>2</formula>
    </cfRule>
    <cfRule type="cellIs" dxfId="45" priority="3" operator="equal">
      <formula>3</formula>
    </cfRule>
    <cfRule type="cellIs" dxfId="44" priority="4" operator="equal">
      <formula>4</formula>
    </cfRule>
    <cfRule type="cellIs" dxfId="43" priority="5" operator="equal">
      <formula>5</formula>
    </cfRule>
  </conditionalFormatting>
  <conditionalFormatting sqref="L6">
    <cfRule type="cellIs" dxfId="42" priority="6" operator="equal">
      <formula>"Red"</formula>
    </cfRule>
    <cfRule type="cellIs" dxfId="41" priority="7" operator="equal">
      <formula>"Amber"</formula>
    </cfRule>
    <cfRule type="cellIs" dxfId="40" priority="8" operator="equal">
      <formula>"Green"</formula>
    </cfRule>
  </conditionalFormatting>
  <conditionalFormatting sqref="L8:L18">
    <cfRule type="cellIs" dxfId="39" priority="9" operator="equal">
      <formula>1</formula>
    </cfRule>
    <cfRule type="cellIs" dxfId="38" priority="10" operator="equal">
      <formula>2</formula>
    </cfRule>
    <cfRule type="cellIs" dxfId="37" priority="11" operator="equal">
      <formula>3</formula>
    </cfRule>
    <cfRule type="cellIs" dxfId="36" priority="12" operator="equal">
      <formula>4</formula>
    </cfRule>
    <cfRule type="cellIs" dxfId="35" priority="13" operator="equal">
      <formula>5</formula>
    </cfRule>
  </conditionalFormatting>
  <conditionalFormatting sqref="M8:M18">
    <cfRule type="cellIs" dxfId="34" priority="14" operator="equal">
      <formula>"Red"</formula>
    </cfRule>
    <cfRule type="cellIs" dxfId="33" priority="15" operator="equal">
      <formula>"Amber"</formula>
    </cfRule>
    <cfRule type="cellIs" dxfId="32" priority="16" operator="equal">
      <formula>"Green"</formula>
    </cfRule>
  </conditionalFormatting>
  <dataValidations count="6">
    <dataValidation type="list" allowBlank="1" prompt="1=Critical, 2=Weak, 3=At Risk, 4=Controlled, 5=Strong" sqref="E17:E81" xr:uid="{00000000-0002-0000-0500-000000000000}">
      <formula1>"1,2,3,4,5"</formula1>
    </dataValidation>
    <dataValidation type="list" allowBlank="1" sqref="H17:H81" xr:uid="{00000000-0002-0000-0500-000001000000}">
      <formula1>"interview,document,observation,workshop,system_data"</formula1>
    </dataValidation>
    <dataValidation type="list" allowBlank="1" sqref="I17:I81" xr:uid="{00000000-0002-0000-0500-000002000000}">
      <formula1>"low,medium,high"</formula1>
    </dataValidation>
    <dataValidation type="list" allowBlank="1" sqref="B8" xr:uid="{00000000-0002-0000-0500-000003000000}">
      <formula1>"Critical,High,Medium,Low"</formula1>
    </dataValidation>
    <dataValidation type="list" allowBlank="1" sqref="B9" xr:uid="{00000000-0002-0000-0500-000004000000}">
      <formula1>"Internal team only,Outsourced service desk,Hybrid internal / vendor,MSP-led,SI-led,Other"</formula1>
    </dataValidation>
    <dataValidation type="list" allowBlank="1" sqref="B10" xr:uid="{00000000-0002-0000-0500-000005000000}">
      <formula1>"24x7,Business hours,Follow-the-sun,Other"</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
  <sheetViews>
    <sheetView showGridLines="0" workbookViewId="0">
      <pane ySplit="10" topLeftCell="A11" activePane="bottomLeft" state="frozen"/>
      <selection pane="bottomLeft" sqref="A1:K1"/>
    </sheetView>
  </sheetViews>
  <sheetFormatPr defaultRowHeight="14.25" x14ac:dyDescent="0.45"/>
  <cols>
    <col min="1" max="1" width="28" customWidth="1"/>
    <col min="2" max="4" width="12" customWidth="1"/>
    <col min="5" max="11" width="15" customWidth="1"/>
  </cols>
  <sheetData>
    <row r="1" spans="1:11" ht="24" customHeight="1" x14ac:dyDescent="0.45">
      <c r="A1" s="14" t="s">
        <v>391</v>
      </c>
      <c r="B1" s="15"/>
      <c r="C1" s="15"/>
      <c r="D1" s="15"/>
      <c r="E1" s="15"/>
      <c r="F1" s="15"/>
      <c r="G1" s="15"/>
      <c r="H1" s="15"/>
      <c r="I1" s="15"/>
      <c r="J1" s="15"/>
      <c r="K1" s="15"/>
    </row>
    <row r="2" spans="1:11" ht="26" customHeight="1" x14ac:dyDescent="0.45">
      <c r="A2" s="19" t="s">
        <v>392</v>
      </c>
      <c r="B2" s="15"/>
      <c r="C2" s="15"/>
      <c r="D2" s="15"/>
      <c r="E2" s="15"/>
      <c r="F2" s="15"/>
      <c r="G2" s="15"/>
      <c r="H2" s="15"/>
      <c r="I2" s="15"/>
      <c r="J2" s="15"/>
      <c r="K2" s="15"/>
    </row>
    <row r="4" spans="1:11" x14ac:dyDescent="0.45">
      <c r="A4" s="16" t="s">
        <v>36</v>
      </c>
      <c r="B4" s="15"/>
      <c r="C4" s="16" t="s">
        <v>38</v>
      </c>
      <c r="D4" s="15"/>
      <c r="E4" s="16" t="s">
        <v>76</v>
      </c>
      <c r="F4" s="15"/>
    </row>
    <row r="5" spans="1:11" ht="23.25" x14ac:dyDescent="0.45">
      <c r="A5" s="17">
        <f>'PHI Snapshot'!K5</f>
        <v>3.67</v>
      </c>
      <c r="B5" s="18"/>
      <c r="C5" s="17" t="str">
        <f>'PHI Snapshot'!K6</f>
        <v>Amber</v>
      </c>
      <c r="D5" s="18"/>
      <c r="E5" s="17" t="str">
        <f>'PHI Snapshot'!K19</f>
        <v>Medium</v>
      </c>
      <c r="F5" s="18"/>
    </row>
    <row r="11" spans="1:11" x14ac:dyDescent="0.45">
      <c r="A11" s="7" t="s">
        <v>55</v>
      </c>
      <c r="B11" s="7" t="s">
        <v>16</v>
      </c>
      <c r="C11" s="7" t="s">
        <v>41</v>
      </c>
    </row>
    <row r="12" spans="1:11" x14ac:dyDescent="0.45">
      <c r="A12" s="1" t="s">
        <v>43</v>
      </c>
      <c r="B12" s="6">
        <f>'PHI Snapshot'!K8</f>
        <v>3</v>
      </c>
      <c r="C12" s="6" t="str">
        <f>'PHI Snapshot'!L8</f>
        <v>Amber</v>
      </c>
    </row>
    <row r="13" spans="1:11" x14ac:dyDescent="0.45">
      <c r="A13" s="1" t="s">
        <v>45</v>
      </c>
      <c r="B13" s="6">
        <f>'PHI Snapshot'!K9</f>
        <v>4</v>
      </c>
      <c r="C13" s="6" t="str">
        <f>'PHI Snapshot'!L9</f>
        <v>Green</v>
      </c>
    </row>
    <row r="14" spans="1:11" x14ac:dyDescent="0.45">
      <c r="A14" s="1" t="s">
        <v>47</v>
      </c>
      <c r="B14" s="6">
        <f>'PHI Snapshot'!K10</f>
        <v>3</v>
      </c>
      <c r="C14" s="6" t="str">
        <f>'PHI Snapshot'!L10</f>
        <v>Amber</v>
      </c>
    </row>
    <row r="15" spans="1:11" x14ac:dyDescent="0.45">
      <c r="A15" s="1" t="s">
        <v>50</v>
      </c>
      <c r="B15" s="6">
        <f>'PHI Snapshot'!K11</f>
        <v>3</v>
      </c>
      <c r="C15" s="6" t="str">
        <f>'PHI Snapshot'!L11</f>
        <v>Amber</v>
      </c>
    </row>
    <row r="16" spans="1:11" x14ac:dyDescent="0.45">
      <c r="A16" s="1" t="s">
        <v>51</v>
      </c>
      <c r="B16" s="6">
        <f>'PHI Snapshot'!K12</f>
        <v>4</v>
      </c>
      <c r="C16" s="6" t="str">
        <f>'PHI Snapshot'!L12</f>
        <v>Green</v>
      </c>
    </row>
    <row r="17" spans="1:3" x14ac:dyDescent="0.45">
      <c r="A17" s="1" t="s">
        <v>52</v>
      </c>
      <c r="B17" s="6">
        <f>'PHI Snapshot'!K13</f>
        <v>4</v>
      </c>
      <c r="C17" s="6" t="str">
        <f>'PHI Snapshot'!L13</f>
        <v>Green</v>
      </c>
    </row>
    <row r="18" spans="1:3" x14ac:dyDescent="0.45">
      <c r="A18" s="1" t="s">
        <v>59</v>
      </c>
      <c r="B18" s="6">
        <f>'PHI Snapshot'!K14</f>
        <v>4</v>
      </c>
      <c r="C18" s="6" t="str">
        <f>'PHI Snapshot'!L14</f>
        <v>Green</v>
      </c>
    </row>
    <row r="19" spans="1:3" x14ac:dyDescent="0.45">
      <c r="A19" s="1" t="s">
        <v>63</v>
      </c>
      <c r="B19" s="6">
        <f>'PHI Snapshot'!K15</f>
        <v>4</v>
      </c>
      <c r="C19" s="6" t="str">
        <f>'PHI Snapshot'!L15</f>
        <v>Green</v>
      </c>
    </row>
    <row r="20" spans="1:3" x14ac:dyDescent="0.45">
      <c r="A20" s="1" t="s">
        <v>66</v>
      </c>
      <c r="B20" s="6">
        <f>'PHI Snapshot'!K16</f>
        <v>4</v>
      </c>
      <c r="C20" s="6" t="str">
        <f>'PHI Snapshot'!L16</f>
        <v>Green</v>
      </c>
    </row>
  </sheetData>
  <mergeCells count="8">
    <mergeCell ref="A1:K1"/>
    <mergeCell ref="C4:D4"/>
    <mergeCell ref="A4:B4"/>
    <mergeCell ref="E4:F4"/>
    <mergeCell ref="C5:D5"/>
    <mergeCell ref="A5:B5"/>
    <mergeCell ref="A2:K2"/>
    <mergeCell ref="E5:F5"/>
  </mergeCells>
  <conditionalFormatting sqref="B12:B20">
    <cfRule type="cellIs" dxfId="31" priority="1" operator="equal">
      <formula>1</formula>
    </cfRule>
    <cfRule type="cellIs" dxfId="30" priority="2" operator="equal">
      <formula>2</formula>
    </cfRule>
    <cfRule type="cellIs" dxfId="29" priority="3" operator="equal">
      <formula>3</formula>
    </cfRule>
    <cfRule type="cellIs" dxfId="28" priority="4" operator="equal">
      <formula>4</formula>
    </cfRule>
    <cfRule type="cellIs" dxfId="27" priority="5" operator="equal">
      <formula>5</formula>
    </cfRule>
  </conditionalFormatting>
  <conditionalFormatting sqref="C12:C20">
    <cfRule type="cellIs" dxfId="26" priority="6" operator="equal">
      <formula>"Red"</formula>
    </cfRule>
    <cfRule type="cellIs" dxfId="25" priority="7" operator="equal">
      <formula>"Amber"</formula>
    </cfRule>
    <cfRule type="cellIs" dxfId="24" priority="8" operator="equal">
      <formula>"Green"</formula>
    </cfRule>
  </conditionalFormatting>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0"/>
  <sheetViews>
    <sheetView showGridLines="0" workbookViewId="0">
      <pane ySplit="10" topLeftCell="A11" activePane="bottomLeft" state="frozen"/>
      <selection pane="bottomLeft" sqref="A1:K1"/>
    </sheetView>
  </sheetViews>
  <sheetFormatPr defaultRowHeight="14.25" x14ac:dyDescent="0.45"/>
  <cols>
    <col min="1" max="1" width="28" customWidth="1"/>
    <col min="2" max="4" width="12" customWidth="1"/>
    <col min="5" max="11" width="15" customWidth="1"/>
  </cols>
  <sheetData>
    <row r="1" spans="1:11" ht="24" customHeight="1" x14ac:dyDescent="0.45">
      <c r="A1" s="14" t="s">
        <v>393</v>
      </c>
      <c r="B1" s="15"/>
      <c r="C1" s="15"/>
      <c r="D1" s="15"/>
      <c r="E1" s="15"/>
      <c r="F1" s="15"/>
      <c r="G1" s="15"/>
      <c r="H1" s="15"/>
      <c r="I1" s="15"/>
      <c r="J1" s="15"/>
      <c r="K1" s="15"/>
    </row>
    <row r="2" spans="1:11" ht="26" customHeight="1" x14ac:dyDescent="0.45">
      <c r="A2" s="19" t="s">
        <v>394</v>
      </c>
      <c r="B2" s="15"/>
      <c r="C2" s="15"/>
      <c r="D2" s="15"/>
      <c r="E2" s="15"/>
      <c r="F2" s="15"/>
      <c r="G2" s="15"/>
      <c r="H2" s="15"/>
      <c r="I2" s="15"/>
      <c r="J2" s="15"/>
      <c r="K2" s="15"/>
    </row>
    <row r="4" spans="1:11" x14ac:dyDescent="0.45">
      <c r="A4" s="16" t="s">
        <v>36</v>
      </c>
      <c r="B4" s="15"/>
      <c r="C4" s="16" t="s">
        <v>38</v>
      </c>
      <c r="D4" s="15"/>
      <c r="E4" s="16" t="s">
        <v>134</v>
      </c>
      <c r="F4" s="15"/>
      <c r="G4" s="16" t="s">
        <v>137</v>
      </c>
      <c r="H4" s="15"/>
    </row>
    <row r="5" spans="1:11" ht="23.25" x14ac:dyDescent="0.45">
      <c r="A5" s="17">
        <f>'PHI Full'!L5</f>
        <v>2.96</v>
      </c>
      <c r="B5" s="18"/>
      <c r="C5" s="17" t="str">
        <f>'PHI Full'!L6</f>
        <v>Amber</v>
      </c>
      <c r="D5" s="18"/>
      <c r="E5" s="17">
        <f>'PHI Full'!L19</f>
        <v>3.11</v>
      </c>
      <c r="F5" s="18"/>
      <c r="G5" s="17">
        <f>'PHI Full'!L20</f>
        <v>3</v>
      </c>
      <c r="H5" s="18"/>
    </row>
    <row r="7" spans="1:11" x14ac:dyDescent="0.45">
      <c r="A7" s="16" t="s">
        <v>140</v>
      </c>
      <c r="B7" s="15"/>
    </row>
    <row r="8" spans="1:11" ht="23.25" x14ac:dyDescent="0.45">
      <c r="A8" s="17" t="str">
        <f>'PHI Full'!L21</f>
        <v>Monitor</v>
      </c>
      <c r="B8" s="18"/>
    </row>
    <row r="11" spans="1:11" x14ac:dyDescent="0.45">
      <c r="A11" s="7" t="s">
        <v>55</v>
      </c>
      <c r="B11" s="7" t="s">
        <v>16</v>
      </c>
      <c r="C11" s="7" t="s">
        <v>41</v>
      </c>
    </row>
    <row r="12" spans="1:11" x14ac:dyDescent="0.45">
      <c r="A12" s="1" t="s">
        <v>114</v>
      </c>
      <c r="B12" s="6">
        <f>'PHI Full'!L8</f>
        <v>3</v>
      </c>
      <c r="C12" s="6" t="str">
        <f>'PHI Full'!M8</f>
        <v>Amber</v>
      </c>
    </row>
    <row r="13" spans="1:11" x14ac:dyDescent="0.45">
      <c r="A13" s="1" t="s">
        <v>116</v>
      </c>
      <c r="B13" s="6">
        <f>'PHI Full'!L9</f>
        <v>3</v>
      </c>
      <c r="C13" s="6" t="str">
        <f>'PHI Full'!M9</f>
        <v>Amber</v>
      </c>
    </row>
    <row r="14" spans="1:11" x14ac:dyDescent="0.45">
      <c r="A14" s="1" t="s">
        <v>118</v>
      </c>
      <c r="B14" s="6">
        <f>'PHI Full'!L10</f>
        <v>3</v>
      </c>
      <c r="C14" s="6" t="str">
        <f>'PHI Full'!M10</f>
        <v>Amber</v>
      </c>
    </row>
    <row r="15" spans="1:11" x14ac:dyDescent="0.45">
      <c r="A15" s="1" t="s">
        <v>120</v>
      </c>
      <c r="B15" s="6">
        <f>'PHI Full'!L11</f>
        <v>3</v>
      </c>
      <c r="C15" s="6" t="str">
        <f>'PHI Full'!M11</f>
        <v>Amber</v>
      </c>
    </row>
    <row r="16" spans="1:11" x14ac:dyDescent="0.45">
      <c r="A16" s="1" t="s">
        <v>122</v>
      </c>
      <c r="B16" s="6">
        <f>'PHI Full'!L12</f>
        <v>3</v>
      </c>
      <c r="C16" s="6" t="str">
        <f>'PHI Full'!M12</f>
        <v>Amber</v>
      </c>
    </row>
    <row r="17" spans="1:3" x14ac:dyDescent="0.45">
      <c r="A17" s="1" t="s">
        <v>52</v>
      </c>
      <c r="B17" s="6">
        <f>'PHI Full'!L13</f>
        <v>3</v>
      </c>
      <c r="C17" s="6" t="str">
        <f>'PHI Full'!M13</f>
        <v>Amber</v>
      </c>
    </row>
    <row r="18" spans="1:3" x14ac:dyDescent="0.45">
      <c r="A18" s="1" t="s">
        <v>123</v>
      </c>
      <c r="B18" s="6">
        <f>'PHI Full'!L14</f>
        <v>3.2</v>
      </c>
      <c r="C18" s="6" t="str">
        <f>'PHI Full'!M14</f>
        <v>Amber</v>
      </c>
    </row>
    <row r="19" spans="1:3" x14ac:dyDescent="0.45">
      <c r="A19" s="1" t="s">
        <v>124</v>
      </c>
      <c r="B19" s="6">
        <f>'PHI Full'!L15</f>
        <v>2.86</v>
      </c>
      <c r="C19" s="6" t="str">
        <f>'PHI Full'!M15</f>
        <v>Amber</v>
      </c>
    </row>
    <row r="20" spans="1:3" x14ac:dyDescent="0.45">
      <c r="A20" s="1" t="s">
        <v>129</v>
      </c>
      <c r="B20" s="6">
        <f>'PHI Full'!L16</f>
        <v>2</v>
      </c>
      <c r="C20" s="6" t="str">
        <f>'PHI Full'!M16</f>
        <v>Red</v>
      </c>
    </row>
  </sheetData>
  <mergeCells count="12">
    <mergeCell ref="A2:K2"/>
    <mergeCell ref="E5:F5"/>
    <mergeCell ref="G5:H5"/>
    <mergeCell ref="A8:B8"/>
    <mergeCell ref="A1:K1"/>
    <mergeCell ref="C4:D4"/>
    <mergeCell ref="A4:B4"/>
    <mergeCell ref="G4:H4"/>
    <mergeCell ref="E4:F4"/>
    <mergeCell ref="A7:B7"/>
    <mergeCell ref="C5:D5"/>
    <mergeCell ref="A5:B5"/>
  </mergeCells>
  <conditionalFormatting sqref="B12:B20">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fRule type="cellIs" dxfId="19" priority="5" operator="equal">
      <formula>5</formula>
    </cfRule>
  </conditionalFormatting>
  <conditionalFormatting sqref="C12:C20">
    <cfRule type="cellIs" dxfId="18" priority="6" operator="equal">
      <formula>"Red"</formula>
    </cfRule>
    <cfRule type="cellIs" dxfId="17" priority="7" operator="equal">
      <formula>"Amber"</formula>
    </cfRule>
    <cfRule type="cellIs" dxfId="16" priority="8" operator="equal">
      <formula>"Green"</formula>
    </cfRule>
  </conditionalFormatting>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showGridLines="0" workbookViewId="0">
      <pane ySplit="10" topLeftCell="A11" activePane="bottomLeft" state="frozen"/>
      <selection pane="bottomLeft" sqref="A1:K1"/>
    </sheetView>
  </sheetViews>
  <sheetFormatPr defaultRowHeight="14.25" x14ac:dyDescent="0.45"/>
  <cols>
    <col min="1" max="1" width="28" customWidth="1"/>
    <col min="2" max="4" width="12" customWidth="1"/>
    <col min="5" max="11" width="15" customWidth="1"/>
  </cols>
  <sheetData>
    <row r="1" spans="1:11" ht="24" customHeight="1" x14ac:dyDescent="0.45">
      <c r="A1" s="14" t="s">
        <v>395</v>
      </c>
      <c r="B1" s="15"/>
      <c r="C1" s="15"/>
      <c r="D1" s="15"/>
      <c r="E1" s="15"/>
      <c r="F1" s="15"/>
      <c r="G1" s="15"/>
      <c r="H1" s="15"/>
      <c r="I1" s="15"/>
      <c r="J1" s="15"/>
      <c r="K1" s="15"/>
    </row>
    <row r="2" spans="1:11" ht="26" customHeight="1" x14ac:dyDescent="0.45">
      <c r="A2" s="19" t="s">
        <v>396</v>
      </c>
      <c r="B2" s="15"/>
      <c r="C2" s="15"/>
      <c r="D2" s="15"/>
      <c r="E2" s="15"/>
      <c r="F2" s="15"/>
      <c r="G2" s="15"/>
      <c r="H2" s="15"/>
      <c r="I2" s="15"/>
      <c r="J2" s="15"/>
      <c r="K2" s="15"/>
    </row>
    <row r="4" spans="1:11" x14ac:dyDescent="0.45">
      <c r="A4" s="16" t="s">
        <v>36</v>
      </c>
      <c r="B4" s="15"/>
      <c r="C4" s="16" t="s">
        <v>38</v>
      </c>
      <c r="D4" s="15"/>
      <c r="E4" s="16" t="s">
        <v>288</v>
      </c>
      <c r="F4" s="15"/>
      <c r="G4" s="16" t="s">
        <v>290</v>
      </c>
      <c r="H4" s="15"/>
    </row>
    <row r="5" spans="1:11" ht="23.25" x14ac:dyDescent="0.45">
      <c r="A5" s="17" t="str">
        <f>'ITSM Snapshot'!K5</f>
        <v/>
      </c>
      <c r="B5" s="18"/>
      <c r="C5" s="17" t="str">
        <f>'ITSM Snapshot'!K6</f>
        <v/>
      </c>
      <c r="D5" s="18"/>
      <c r="E5" s="17" t="str">
        <f>'ITSM Snapshot'!K21</f>
        <v/>
      </c>
      <c r="F5" s="18"/>
      <c r="G5" s="17" t="str">
        <f>'ITSM Snapshot'!K22</f>
        <v/>
      </c>
      <c r="H5" s="18"/>
    </row>
    <row r="7" spans="1:11" x14ac:dyDescent="0.45">
      <c r="A7" s="16" t="s">
        <v>292</v>
      </c>
      <c r="B7" s="15"/>
      <c r="C7" s="16" t="s">
        <v>76</v>
      </c>
      <c r="D7" s="15"/>
    </row>
    <row r="8" spans="1:11" ht="23.25" x14ac:dyDescent="0.45">
      <c r="A8" s="17" t="str">
        <f>'ITSM Snapshot'!K23</f>
        <v/>
      </c>
      <c r="B8" s="18"/>
      <c r="C8" s="17" t="str">
        <f>'ITSM Snapshot'!K24</f>
        <v/>
      </c>
      <c r="D8" s="18"/>
    </row>
    <row r="11" spans="1:11" x14ac:dyDescent="0.45">
      <c r="A11" s="7" t="s">
        <v>55</v>
      </c>
      <c r="B11" s="7" t="s">
        <v>16</v>
      </c>
      <c r="C11" s="7" t="s">
        <v>41</v>
      </c>
    </row>
    <row r="12" spans="1:11" x14ac:dyDescent="0.45">
      <c r="A12" s="1" t="s">
        <v>269</v>
      </c>
      <c r="B12" s="6" t="str">
        <f>'ITSM Snapshot'!K8</f>
        <v/>
      </c>
      <c r="C12" s="6" t="str">
        <f>'ITSM Snapshot'!L8</f>
        <v/>
      </c>
    </row>
    <row r="13" spans="1:11" x14ac:dyDescent="0.45">
      <c r="A13" s="1" t="s">
        <v>271</v>
      </c>
      <c r="B13" s="6" t="str">
        <f>'ITSM Snapshot'!K9</f>
        <v/>
      </c>
      <c r="C13" s="6" t="str">
        <f>'ITSM Snapshot'!L9</f>
        <v/>
      </c>
    </row>
    <row r="14" spans="1:11" x14ac:dyDescent="0.45">
      <c r="A14" s="1" t="s">
        <v>272</v>
      </c>
      <c r="B14" s="6" t="str">
        <f>'ITSM Snapshot'!K10</f>
        <v/>
      </c>
      <c r="C14" s="6" t="str">
        <f>'ITSM Snapshot'!L10</f>
        <v/>
      </c>
    </row>
    <row r="15" spans="1:11" x14ac:dyDescent="0.45">
      <c r="A15" s="1" t="s">
        <v>273</v>
      </c>
      <c r="B15" s="6" t="str">
        <f>'ITSM Snapshot'!K11</f>
        <v/>
      </c>
      <c r="C15" s="6" t="str">
        <f>'ITSM Snapshot'!L11</f>
        <v/>
      </c>
    </row>
    <row r="16" spans="1:11" x14ac:dyDescent="0.45">
      <c r="A16" s="1" t="s">
        <v>274</v>
      </c>
      <c r="B16" s="6" t="str">
        <f>'ITSM Snapshot'!K12</f>
        <v/>
      </c>
      <c r="C16" s="6" t="str">
        <f>'ITSM Snapshot'!L12</f>
        <v/>
      </c>
    </row>
    <row r="17" spans="1:3" x14ac:dyDescent="0.45">
      <c r="A17" s="1" t="s">
        <v>275</v>
      </c>
      <c r="B17" s="6" t="str">
        <f>'ITSM Snapshot'!K13</f>
        <v/>
      </c>
      <c r="C17" s="6" t="str">
        <f>'ITSM Snapshot'!L13</f>
        <v/>
      </c>
    </row>
    <row r="18" spans="1:3" x14ac:dyDescent="0.45">
      <c r="A18" s="1" t="s">
        <v>276</v>
      </c>
      <c r="B18" s="6" t="str">
        <f>'ITSM Snapshot'!K14</f>
        <v/>
      </c>
      <c r="C18" s="6" t="str">
        <f>'ITSM Snapshot'!L14</f>
        <v/>
      </c>
    </row>
    <row r="19" spans="1:3" x14ac:dyDescent="0.45">
      <c r="A19" s="1" t="s">
        <v>278</v>
      </c>
      <c r="B19" s="6" t="str">
        <f>'ITSM Snapshot'!K15</f>
        <v/>
      </c>
      <c r="C19" s="6" t="str">
        <f>'ITSM Snapshot'!L15</f>
        <v/>
      </c>
    </row>
    <row r="20" spans="1:3" x14ac:dyDescent="0.45">
      <c r="A20" s="1" t="s">
        <v>280</v>
      </c>
      <c r="B20" s="6" t="str">
        <f>'ITSM Snapshot'!K16</f>
        <v/>
      </c>
      <c r="C20" s="6" t="str">
        <f>'ITSM Snapshot'!L16</f>
        <v/>
      </c>
    </row>
    <row r="21" spans="1:3" x14ac:dyDescent="0.45">
      <c r="A21" s="1" t="s">
        <v>282</v>
      </c>
      <c r="B21" s="6" t="str">
        <f>'ITSM Snapshot'!K17</f>
        <v/>
      </c>
      <c r="C21" s="6" t="str">
        <f>'ITSM Snapshot'!L17</f>
        <v/>
      </c>
    </row>
    <row r="22" spans="1:3" x14ac:dyDescent="0.45">
      <c r="A22" s="1" t="s">
        <v>284</v>
      </c>
      <c r="B22" s="6" t="str">
        <f>'ITSM Snapshot'!K18</f>
        <v/>
      </c>
      <c r="C22" s="6" t="str">
        <f>'ITSM Snapshot'!L18</f>
        <v/>
      </c>
    </row>
  </sheetData>
  <mergeCells count="14">
    <mergeCell ref="A2:K2"/>
    <mergeCell ref="E5:F5"/>
    <mergeCell ref="G5:H5"/>
    <mergeCell ref="A8:B8"/>
    <mergeCell ref="A1:K1"/>
    <mergeCell ref="C8:D8"/>
    <mergeCell ref="C4:D4"/>
    <mergeCell ref="A4:B4"/>
    <mergeCell ref="G4:H4"/>
    <mergeCell ref="E4:F4"/>
    <mergeCell ref="C7:D7"/>
    <mergeCell ref="A7:B7"/>
    <mergeCell ref="C5:D5"/>
    <mergeCell ref="A5:B5"/>
  </mergeCells>
  <conditionalFormatting sqref="B12:B22">
    <cfRule type="cellIs" dxfId="15" priority="1" operator="equal">
      <formula>1</formula>
    </cfRule>
    <cfRule type="cellIs" dxfId="14" priority="2" operator="equal">
      <formula>2</formula>
    </cfRule>
    <cfRule type="cellIs" dxfId="13" priority="3" operator="equal">
      <formula>3</formula>
    </cfRule>
    <cfRule type="cellIs" dxfId="12" priority="4" operator="equal">
      <formula>4</formula>
    </cfRule>
    <cfRule type="cellIs" dxfId="11" priority="5" operator="equal">
      <formula>5</formula>
    </cfRule>
  </conditionalFormatting>
  <conditionalFormatting sqref="C12:C22">
    <cfRule type="cellIs" dxfId="10" priority="6" operator="equal">
      <formula>"Red"</formula>
    </cfRule>
    <cfRule type="cellIs" dxfId="9" priority="7" operator="equal">
      <formula>"Amber"</formula>
    </cfRule>
    <cfRule type="cellIs" dxfId="8" priority="8" operator="equal">
      <formula>"Green"</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2"/>
  <sheetViews>
    <sheetView showGridLines="0" workbookViewId="0">
      <pane ySplit="10" topLeftCell="A11" activePane="bottomLeft" state="frozen"/>
      <selection pane="bottomLeft" sqref="A1:K1"/>
    </sheetView>
  </sheetViews>
  <sheetFormatPr defaultRowHeight="14.25" x14ac:dyDescent="0.45"/>
  <cols>
    <col min="1" max="1" width="28" customWidth="1"/>
    <col min="2" max="4" width="12" customWidth="1"/>
    <col min="5" max="11" width="15" customWidth="1"/>
  </cols>
  <sheetData>
    <row r="1" spans="1:11" ht="24" customHeight="1" x14ac:dyDescent="0.45">
      <c r="A1" s="14" t="s">
        <v>397</v>
      </c>
      <c r="B1" s="15"/>
      <c r="C1" s="15"/>
      <c r="D1" s="15"/>
      <c r="E1" s="15"/>
      <c r="F1" s="15"/>
      <c r="G1" s="15"/>
      <c r="H1" s="15"/>
      <c r="I1" s="15"/>
      <c r="J1" s="15"/>
      <c r="K1" s="15"/>
    </row>
    <row r="2" spans="1:11" ht="26" customHeight="1" x14ac:dyDescent="0.45">
      <c r="A2" s="19" t="s">
        <v>398</v>
      </c>
      <c r="B2" s="15"/>
      <c r="C2" s="15"/>
      <c r="D2" s="15"/>
      <c r="E2" s="15"/>
      <c r="F2" s="15"/>
      <c r="G2" s="15"/>
      <c r="H2" s="15"/>
      <c r="I2" s="15"/>
      <c r="J2" s="15"/>
      <c r="K2" s="15"/>
    </row>
    <row r="4" spans="1:11" x14ac:dyDescent="0.45">
      <c r="A4" s="16" t="s">
        <v>36</v>
      </c>
      <c r="B4" s="15"/>
      <c r="C4" s="16" t="s">
        <v>38</v>
      </c>
      <c r="D4" s="15"/>
      <c r="E4" s="16" t="s">
        <v>288</v>
      </c>
      <c r="F4" s="15"/>
      <c r="G4" s="16" t="s">
        <v>290</v>
      </c>
      <c r="H4" s="15"/>
    </row>
    <row r="5" spans="1:11" ht="23.25" x14ac:dyDescent="0.45">
      <c r="A5" s="17" t="str">
        <f>'ITSM Full'!L5</f>
        <v/>
      </c>
      <c r="B5" s="18"/>
      <c r="C5" s="17" t="str">
        <f>'ITSM Full'!L6</f>
        <v/>
      </c>
      <c r="D5" s="18"/>
      <c r="E5" s="17" t="str">
        <f>'ITSM Full'!L21</f>
        <v/>
      </c>
      <c r="F5" s="18"/>
      <c r="G5" s="17" t="str">
        <f>'ITSM Full'!L22</f>
        <v/>
      </c>
      <c r="H5" s="18"/>
    </row>
    <row r="7" spans="1:11" x14ac:dyDescent="0.45">
      <c r="A7" s="16" t="s">
        <v>292</v>
      </c>
      <c r="B7" s="15"/>
      <c r="C7" s="16" t="s">
        <v>140</v>
      </c>
      <c r="D7" s="15"/>
    </row>
    <row r="8" spans="1:11" ht="23.25" x14ac:dyDescent="0.45">
      <c r="A8" s="17" t="str">
        <f>'ITSM Full'!L23</f>
        <v/>
      </c>
      <c r="B8" s="18"/>
      <c r="C8" s="17" t="str">
        <f>'ITSM Full'!L24</f>
        <v/>
      </c>
      <c r="D8" s="18"/>
    </row>
    <row r="11" spans="1:11" x14ac:dyDescent="0.45">
      <c r="A11" s="7" t="s">
        <v>55</v>
      </c>
      <c r="B11" s="7" t="s">
        <v>16</v>
      </c>
      <c r="C11" s="7" t="s">
        <v>41</v>
      </c>
    </row>
    <row r="12" spans="1:11" x14ac:dyDescent="0.45">
      <c r="A12" s="1" t="s">
        <v>269</v>
      </c>
      <c r="B12" s="6" t="str">
        <f>'ITSM Full'!L8</f>
        <v/>
      </c>
      <c r="C12" s="6" t="str">
        <f>'ITSM Full'!M8</f>
        <v/>
      </c>
    </row>
    <row r="13" spans="1:11" x14ac:dyDescent="0.45">
      <c r="A13" s="1" t="s">
        <v>271</v>
      </c>
      <c r="B13" s="6" t="str">
        <f>'ITSM Full'!L9</f>
        <v/>
      </c>
      <c r="C13" s="6" t="str">
        <f>'ITSM Full'!M9</f>
        <v/>
      </c>
    </row>
    <row r="14" spans="1:11" x14ac:dyDescent="0.45">
      <c r="A14" s="1" t="s">
        <v>272</v>
      </c>
      <c r="B14" s="6" t="str">
        <f>'ITSM Full'!L10</f>
        <v/>
      </c>
      <c r="C14" s="6" t="str">
        <f>'ITSM Full'!M10</f>
        <v/>
      </c>
    </row>
    <row r="15" spans="1:11" x14ac:dyDescent="0.45">
      <c r="A15" s="1" t="s">
        <v>273</v>
      </c>
      <c r="B15" s="6" t="str">
        <f>'ITSM Full'!L11</f>
        <v/>
      </c>
      <c r="C15" s="6" t="str">
        <f>'ITSM Full'!M11</f>
        <v/>
      </c>
    </row>
    <row r="16" spans="1:11" x14ac:dyDescent="0.45">
      <c r="A16" s="1" t="s">
        <v>274</v>
      </c>
      <c r="B16" s="6" t="str">
        <f>'ITSM Full'!L12</f>
        <v/>
      </c>
      <c r="C16" s="6" t="str">
        <f>'ITSM Full'!M12</f>
        <v/>
      </c>
    </row>
    <row r="17" spans="1:3" x14ac:dyDescent="0.45">
      <c r="A17" s="1" t="s">
        <v>275</v>
      </c>
      <c r="B17" s="6" t="str">
        <f>'ITSM Full'!L13</f>
        <v/>
      </c>
      <c r="C17" s="6" t="str">
        <f>'ITSM Full'!M13</f>
        <v/>
      </c>
    </row>
    <row r="18" spans="1:3" x14ac:dyDescent="0.45">
      <c r="A18" s="1" t="s">
        <v>276</v>
      </c>
      <c r="B18" s="6" t="str">
        <f>'ITSM Full'!L14</f>
        <v/>
      </c>
      <c r="C18" s="6" t="str">
        <f>'ITSM Full'!M14</f>
        <v/>
      </c>
    </row>
    <row r="19" spans="1:3" x14ac:dyDescent="0.45">
      <c r="A19" s="1" t="s">
        <v>278</v>
      </c>
      <c r="B19" s="6" t="str">
        <f>'ITSM Full'!L15</f>
        <v/>
      </c>
      <c r="C19" s="6" t="str">
        <f>'ITSM Full'!M15</f>
        <v/>
      </c>
    </row>
    <row r="20" spans="1:3" x14ac:dyDescent="0.45">
      <c r="A20" s="1" t="s">
        <v>280</v>
      </c>
      <c r="B20" s="6" t="str">
        <f>'ITSM Full'!L16</f>
        <v/>
      </c>
      <c r="C20" s="6" t="str">
        <f>'ITSM Full'!M16</f>
        <v/>
      </c>
    </row>
    <row r="21" spans="1:3" x14ac:dyDescent="0.45">
      <c r="A21" s="1" t="s">
        <v>282</v>
      </c>
      <c r="B21" s="6" t="str">
        <f>'ITSM Full'!L17</f>
        <v/>
      </c>
      <c r="C21" s="6" t="str">
        <f>'ITSM Full'!M17</f>
        <v/>
      </c>
    </row>
    <row r="22" spans="1:3" x14ac:dyDescent="0.45">
      <c r="A22" s="1" t="s">
        <v>284</v>
      </c>
      <c r="B22" s="6" t="str">
        <f>'ITSM Full'!L18</f>
        <v/>
      </c>
      <c r="C22" s="6" t="str">
        <f>'ITSM Full'!M18</f>
        <v/>
      </c>
    </row>
  </sheetData>
  <mergeCells count="14">
    <mergeCell ref="A2:K2"/>
    <mergeCell ref="E5:F5"/>
    <mergeCell ref="G5:H5"/>
    <mergeCell ref="A8:B8"/>
    <mergeCell ref="A1:K1"/>
    <mergeCell ref="C8:D8"/>
    <mergeCell ref="C4:D4"/>
    <mergeCell ref="A4:B4"/>
    <mergeCell ref="G4:H4"/>
    <mergeCell ref="E4:F4"/>
    <mergeCell ref="C7:D7"/>
    <mergeCell ref="A7:B7"/>
    <mergeCell ref="C5:D5"/>
    <mergeCell ref="A5:B5"/>
  </mergeCells>
  <conditionalFormatting sqref="B12:B22">
    <cfRule type="cellIs" dxfId="7" priority="1" operator="equal">
      <formula>1</formula>
    </cfRule>
    <cfRule type="cellIs" dxfId="6" priority="2" operator="equal">
      <formula>2</formula>
    </cfRule>
    <cfRule type="cellIs" dxfId="5" priority="3" operator="equal">
      <formula>3</formula>
    </cfRule>
    <cfRule type="cellIs" dxfId="4" priority="4" operator="equal">
      <formula>4</formula>
    </cfRule>
    <cfRule type="cellIs" dxfId="3" priority="5" operator="equal">
      <formula>5</formula>
    </cfRule>
  </conditionalFormatting>
  <conditionalFormatting sqref="C12:C22">
    <cfRule type="cellIs" dxfId="2" priority="6" operator="equal">
      <formula>"Red"</formula>
    </cfRule>
    <cfRule type="cellIs" dxfId="1" priority="7" operator="equal">
      <formula>"Amber"</formula>
    </cfRule>
    <cfRule type="cellIs" dxfId="0" priority="8" operator="equal">
      <formula>"Green"</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
  <sheetViews>
    <sheetView showGridLines="0" tabSelected="1" workbookViewId="0">
      <pane ySplit="3" topLeftCell="A4" activePane="bottomLeft" state="frozen"/>
      <selection pane="bottomLeft" activeCell="B6" sqref="B6"/>
    </sheetView>
  </sheetViews>
  <sheetFormatPr defaultRowHeight="14.25" x14ac:dyDescent="0.45"/>
  <cols>
    <col min="1" max="1" width="18" customWidth="1"/>
    <col min="2" max="2" width="95" customWidth="1"/>
  </cols>
  <sheetData>
    <row r="1" spans="1:10" ht="24" customHeight="1" x14ac:dyDescent="0.45">
      <c r="A1" s="14" t="s">
        <v>399</v>
      </c>
      <c r="B1" s="15"/>
      <c r="C1" s="15"/>
      <c r="D1" s="15"/>
      <c r="E1" s="15"/>
      <c r="F1" s="15"/>
      <c r="G1" s="15"/>
      <c r="H1" s="15"/>
      <c r="I1" s="15"/>
      <c r="J1" s="15"/>
    </row>
    <row r="2" spans="1:10" ht="26" customHeight="1" x14ac:dyDescent="0.45">
      <c r="A2" s="19" t="s">
        <v>400</v>
      </c>
      <c r="B2" s="15"/>
      <c r="C2" s="15"/>
      <c r="D2" s="15"/>
      <c r="E2" s="15"/>
      <c r="F2" s="15"/>
      <c r="G2" s="15"/>
      <c r="H2" s="15"/>
      <c r="I2" s="15"/>
      <c r="J2" s="15"/>
    </row>
    <row r="4" spans="1:10" x14ac:dyDescent="0.45">
      <c r="A4" s="24" t="s">
        <v>401</v>
      </c>
      <c r="B4" s="15"/>
    </row>
    <row r="5" spans="1:10" x14ac:dyDescent="0.45">
      <c r="A5" s="1" t="s">
        <v>402</v>
      </c>
      <c r="B5" s="8" t="s">
        <v>403</v>
      </c>
    </row>
    <row r="6" spans="1:10" ht="160.05000000000001" customHeight="1" x14ac:dyDescent="0.45">
      <c r="A6" s="1" t="s">
        <v>404</v>
      </c>
      <c r="B6" s="13" t="s">
        <v>405</v>
      </c>
    </row>
    <row r="8" spans="1:10" x14ac:dyDescent="0.45">
      <c r="A8" s="24" t="s">
        <v>406</v>
      </c>
      <c r="B8" s="15"/>
    </row>
    <row r="9" spans="1:10" x14ac:dyDescent="0.45">
      <c r="A9" s="1" t="s">
        <v>402</v>
      </c>
      <c r="B9" s="8" t="s">
        <v>407</v>
      </c>
    </row>
    <row r="10" spans="1:10" ht="160.05000000000001" customHeight="1" x14ac:dyDescent="0.45">
      <c r="A10" s="1" t="s">
        <v>404</v>
      </c>
      <c r="B10" s="13" t="s">
        <v>408</v>
      </c>
    </row>
  </sheetData>
  <mergeCells count="4">
    <mergeCell ref="A4:B4"/>
    <mergeCell ref="A8:B8"/>
    <mergeCell ref="A1:J1"/>
    <mergeCell ref="A2:J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
  <sheetViews>
    <sheetView showGridLines="0" workbookViewId="0">
      <pane ySplit="3" topLeftCell="A4" activePane="bottomLeft" state="frozen"/>
      <selection pane="bottomLeft" sqref="A1:J1"/>
    </sheetView>
  </sheetViews>
  <sheetFormatPr defaultRowHeight="14.25" x14ac:dyDescent="0.45"/>
  <cols>
    <col min="1" max="1" width="18" customWidth="1"/>
    <col min="2" max="2" width="95" customWidth="1"/>
  </cols>
  <sheetData>
    <row r="1" spans="1:10" ht="24" customHeight="1" x14ac:dyDescent="0.45">
      <c r="A1" s="14" t="s">
        <v>409</v>
      </c>
      <c r="B1" s="15"/>
      <c r="C1" s="15"/>
      <c r="D1" s="15"/>
      <c r="E1" s="15"/>
      <c r="F1" s="15"/>
      <c r="G1" s="15"/>
      <c r="H1" s="15"/>
      <c r="I1" s="15"/>
      <c r="J1" s="15"/>
    </row>
    <row r="2" spans="1:10" ht="26" customHeight="1" x14ac:dyDescent="0.45">
      <c r="A2" s="19" t="s">
        <v>400</v>
      </c>
      <c r="B2" s="15"/>
      <c r="C2" s="15"/>
      <c r="D2" s="15"/>
      <c r="E2" s="15"/>
      <c r="F2" s="15"/>
      <c r="G2" s="15"/>
      <c r="H2" s="15"/>
      <c r="I2" s="15"/>
      <c r="J2" s="15"/>
    </row>
    <row r="4" spans="1:10" x14ac:dyDescent="0.45">
      <c r="A4" s="24" t="s">
        <v>410</v>
      </c>
      <c r="B4" s="15"/>
    </row>
    <row r="5" spans="1:10" x14ac:dyDescent="0.45">
      <c r="A5" s="1" t="s">
        <v>402</v>
      </c>
      <c r="B5" s="8" t="s">
        <v>411</v>
      </c>
    </row>
    <row r="6" spans="1:10" ht="160.05000000000001" customHeight="1" x14ac:dyDescent="0.45">
      <c r="A6" s="1" t="s">
        <v>404</v>
      </c>
      <c r="B6" s="13" t="s">
        <v>412</v>
      </c>
    </row>
    <row r="8" spans="1:10" x14ac:dyDescent="0.45">
      <c r="A8" s="24" t="s">
        <v>413</v>
      </c>
      <c r="B8" s="15"/>
    </row>
    <row r="9" spans="1:10" x14ac:dyDescent="0.45">
      <c r="A9" s="1" t="s">
        <v>402</v>
      </c>
      <c r="B9" s="8" t="s">
        <v>414</v>
      </c>
    </row>
    <row r="10" spans="1:10" ht="160.05000000000001" customHeight="1" x14ac:dyDescent="0.45">
      <c r="A10" s="1" t="s">
        <v>404</v>
      </c>
      <c r="B10" s="13" t="s">
        <v>415</v>
      </c>
    </row>
  </sheetData>
  <mergeCells count="4">
    <mergeCell ref="A4:B4"/>
    <mergeCell ref="A8:B8"/>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Config</vt:lpstr>
      <vt:lpstr>PHI Snapshot</vt:lpstr>
      <vt:lpstr>PHI Full</vt:lpstr>
      <vt:lpstr>ITSM Snapshot</vt:lpstr>
      <vt:lpstr>ITSM Full</vt:lpstr>
      <vt:lpstr>PHI Snapshot Dash</vt:lpstr>
      <vt:lpstr>PHI Full Dash</vt:lpstr>
      <vt:lpstr>ITSM Snapshot Dash</vt:lpstr>
      <vt:lpstr>ITSM Full Dash</vt:lpstr>
      <vt:lpstr>AI - PHI</vt:lpstr>
      <vt:lpstr>AI - ITSM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Reda Boukhiar</cp:lastModifiedBy>
  <dcterms:created xsi:type="dcterms:W3CDTF">2026-04-01T21:25:33Z</dcterms:created>
  <dcterms:modified xsi:type="dcterms:W3CDTF">2026-04-02T16:03:17Z</dcterms:modified>
</cp:coreProperties>
</file>